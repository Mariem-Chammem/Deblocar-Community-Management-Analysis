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Accueil" sheetId="1" r:id="rId5"/>
    <sheet state="visible" name="Feuille 1" sheetId="2" r:id="rId6"/>
    <sheet state="hidden" name="_Listes" sheetId="3" r:id="rId7"/>
    <sheet state="visible" name="📊 Dashboard" sheetId="4" r:id="rId8"/>
    <sheet state="visible" name="📅 Janvier" sheetId="5" r:id="rId9"/>
    <sheet state="visible" name="📅 Février" sheetId="6" r:id="rId10"/>
    <sheet state="visible" name="📅 Mars" sheetId="7" r:id="rId11"/>
    <sheet state="visible" name="📅 Avril" sheetId="8" r:id="rId12"/>
    <sheet state="visible" name="📅 Mai" sheetId="9" r:id="rId13"/>
    <sheet state="visible" name="📅 Juin" sheetId="10" r:id="rId14"/>
    <sheet state="visible" name="📅 Juillet" sheetId="11" r:id="rId15"/>
    <sheet state="visible" name="📅 Août" sheetId="12" r:id="rId16"/>
    <sheet state="visible" name="📅 Septembre" sheetId="13" r:id="rId17"/>
    <sheet state="visible" name="📅 Octobre" sheetId="14" r:id="rId18"/>
    <sheet state="visible" name="📅 Novembre" sheetId="15" r:id="rId19"/>
    <sheet state="visible" name="📅 Décembre" sheetId="16" r:id="rId20"/>
  </sheets>
  <definedNames>
    <definedName hidden="1" localSheetId="10" name="_xlnm._FilterDatabase">'📅 Juillet'!$A$1:$M$45</definedName>
  </definedNames>
  <calcPr/>
</workbook>
</file>

<file path=xl/sharedStrings.xml><?xml version="1.0" encoding="utf-8"?>
<sst xmlns="http://schemas.openxmlformats.org/spreadsheetml/2006/main" count="1520" uniqueCount="541">
  <si>
    <t>Statuts</t>
  </si>
  <si>
    <t>Gouvernorats</t>
  </si>
  <si>
    <t>Sources</t>
  </si>
  <si>
    <t>Modèles</t>
  </si>
  <si>
    <t>Services</t>
  </si>
  <si>
    <t>Nouveau lead</t>
  </si>
  <si>
    <t>Ariana</t>
  </si>
  <si>
    <t>WhatsApp</t>
  </si>
  <si>
    <t>BMW Serie 1</t>
  </si>
  <si>
    <t>Navigation GPS</t>
  </si>
  <si>
    <t>Appel 1 effectué</t>
  </si>
  <si>
    <t>Béja</t>
  </si>
  <si>
    <t>Instagram</t>
  </si>
  <si>
    <t>BMW Serie 2</t>
  </si>
  <si>
    <t>Apple CarPlay</t>
  </si>
  <si>
    <t>En attente VIN/Photo</t>
  </si>
  <si>
    <t>📊  DEBLOCAR — Dashboard Commercial 2025</t>
  </si>
  <si>
    <t>Ben Arous</t>
  </si>
  <si>
    <t>DEBLOCAR</t>
  </si>
  <si>
    <t>Messenger</t>
  </si>
  <si>
    <t>BMW Serie 3</t>
  </si>
  <si>
    <t>Android Auto</t>
  </si>
  <si>
    <t>Vérification</t>
  </si>
  <si>
    <t>Bizerte</t>
  </si>
  <si>
    <t>Appel direct</t>
  </si>
  <si>
    <t>BMW Serie 4</t>
  </si>
  <si>
    <t>Activation alarme</t>
  </si>
  <si>
    <t>Appel 2 effectué</t>
  </si>
  <si>
    <t>Gabès</t>
  </si>
  <si>
    <t>TikTok</t>
  </si>
  <si>
    <t>BMW Serie 5</t>
  </si>
  <si>
    <t>Pack AMG</t>
  </si>
  <si>
    <t>RDV confirmé</t>
  </si>
  <si>
    <t>Gafsa</t>
  </si>
  <si>
    <t>Facebook</t>
  </si>
  <si>
    <t>BMW Serie 7</t>
  </si>
  <si>
    <t>Pack M</t>
  </si>
  <si>
    <t>RDV honoré</t>
  </si>
  <si>
    <t>Jendouba</t>
  </si>
  <si>
    <t>Autre</t>
  </si>
  <si>
    <t>BMW X1</t>
  </si>
  <si>
    <t>Pack R</t>
  </si>
  <si>
    <t>Non faisable</t>
  </si>
  <si>
    <t>Kairouan</t>
  </si>
  <si>
    <t>BMW X3</t>
  </si>
  <si>
    <t>Codage d'options</t>
  </si>
  <si>
    <t>Annulé</t>
  </si>
  <si>
    <t>Kasserine</t>
  </si>
  <si>
    <t>BMW X5</t>
  </si>
  <si>
    <t>Système de Suivi des Leads — Version 3</t>
  </si>
  <si>
    <t>Mise à jour logicielle</t>
  </si>
  <si>
    <t>Kébili</t>
  </si>
  <si>
    <t>Mise à jour automatique · Données agrégées depuis les 12 onglets mensuels</t>
  </si>
  <si>
    <t>BMW X6</t>
  </si>
  <si>
    <t>Navigation + Apple CarPlay</t>
  </si>
  <si>
    <t>Le Kef</t>
  </si>
  <si>
    <t>Mercedes Classe A</t>
  </si>
  <si>
    <t>Navigation + CarPlay + Alarme</t>
  </si>
  <si>
    <t>Mahdia</t>
  </si>
  <si>
    <t>Mercedes Classe B</t>
  </si>
  <si>
    <t>Navigation + Pack AMG</t>
  </si>
  <si>
    <t>La Manouba</t>
  </si>
  <si>
    <t>Mercedes Classe C</t>
  </si>
  <si>
    <t>Fonctions cachées</t>
  </si>
  <si>
    <t>Médenine</t>
  </si>
  <si>
    <t>Mercedes Classe E</t>
  </si>
  <si>
    <t>Monastir</t>
  </si>
  <si>
    <t>Mercedes Classe S</t>
  </si>
  <si>
    <t>Nabeul</t>
  </si>
  <si>
    <t>Mercedes GLA</t>
  </si>
  <si>
    <t>Sfax</t>
  </si>
  <si>
    <t>Mercedes GLB</t>
  </si>
  <si>
    <t>Sidi Bouzid</t>
  </si>
  <si>
    <t>Mercedes GLC</t>
  </si>
  <si>
    <t xml:space="preserve">  📁  Structure du fichier</t>
  </si>
  <si>
    <t>Siliana</t>
  </si>
  <si>
    <t>Mercedes GLE</t>
  </si>
  <si>
    <t>Sousse</t>
  </si>
  <si>
    <t>Mercedes GLS</t>
  </si>
  <si>
    <t>Tataouine</t>
  </si>
  <si>
    <t>VW Golf 7</t>
  </si>
  <si>
    <t>Tozeur</t>
  </si>
  <si>
    <t>VW Golf 8</t>
  </si>
  <si>
    <t xml:space="preserve">    🏠 Accueil            → Cette page.</t>
  </si>
  <si>
    <t>Tunis</t>
  </si>
  <si>
    <t>VW Tiguan</t>
  </si>
  <si>
    <t>Zaghouan</t>
  </si>
  <si>
    <t>VW T-Cross</t>
  </si>
  <si>
    <t>VW Passat</t>
  </si>
  <si>
    <t>VW Polo</t>
  </si>
  <si>
    <t>📥  Total Leads</t>
  </si>
  <si>
    <t>Audi A1</t>
  </si>
  <si>
    <t xml:space="preserve">    📊 Dashboard          → KPIs automatiques : total leads, RDV, statuts, sources, modèles, volume mensuel.</t>
  </si>
  <si>
    <t>Audi A3</t>
  </si>
  <si>
    <t>Audi A4</t>
  </si>
  <si>
    <t>Audi A5</t>
  </si>
  <si>
    <t>✅  RDV Honorés</t>
  </si>
  <si>
    <t>Audi A6</t>
  </si>
  <si>
    <t xml:space="preserve">    📅 Janvier → Décembre → Un onglet par mois. Saisir les leads ici.</t>
  </si>
  <si>
    <t>Audi Q3</t>
  </si>
  <si>
    <t>Audi Q5</t>
  </si>
  <si>
    <t>Audi Q7</t>
  </si>
  <si>
    <t xml:space="preserve">    _Listes               → Onglet caché — source des listes déroulantes.</t>
  </si>
  <si>
    <t>Cupra Formentor</t>
  </si>
  <si>
    <t>🔑  Codes Activés</t>
  </si>
  <si>
    <t>Cupra Leon</t>
  </si>
  <si>
    <t>Cupra Ateca</t>
  </si>
  <si>
    <t>Kia</t>
  </si>
  <si>
    <t>BYD</t>
  </si>
  <si>
    <t xml:space="preserve">  🆕  Champs avec sélection (v3)</t>
  </si>
  <si>
    <t>Volvo</t>
  </si>
  <si>
    <t xml:space="preserve">    Statut          → 9 statuts du tunnel commercial (liste déroulante).</t>
  </si>
  <si>
    <t xml:space="preserve">    Gouvernorat     → 24 gouvernorats de Tunisie (liste déroulante).</t>
  </si>
  <si>
    <t xml:space="preserve">    Source du lead  → WhatsApp / Instagram / Messenger / Appel direct / TikTok / Facebook / Autre.</t>
  </si>
  <si>
    <t>DEBLOCAR — Suivi leads  |  Janvier</t>
  </si>
  <si>
    <t xml:space="preserve">    Modèle véhicule → Liste complète BMW, Mercedes, VW, Audi, Cupra, Kia, BYD, Volvo, Autre.</t>
  </si>
  <si>
    <t xml:space="preserve">    Service demandé → Navigation, CarPlay, Android Auto, Pack AMG/M/R, Alarme, etc.</t>
  </si>
  <si>
    <t xml:space="preserve">    Date RDV        → Champ de type date (JJ/MM/AAAA) avec validation.</t>
  </si>
  <si>
    <t xml:space="preserve">  🎨  Code couleur des lignes (automatique)</t>
  </si>
  <si>
    <t xml:space="preserve">    🔵 Nouveau lead              → Lead reçu, non contacté.</t>
  </si>
  <si>
    <t xml:space="preserve">    🟡 Appel 1 effectué          → Premier appel passé.</t>
  </si>
  <si>
    <t xml:space="preserve">    🔴 En attente VIN/Photo      → en attente de rendez vous</t>
  </si>
  <si>
    <t xml:space="preserve">    🟠 Vérification              → Dossier en validation technique.</t>
  </si>
  <si>
    <t xml:space="preserve">    🟢 Appel 2 effectué          → Faisabilité confirmée.</t>
  </si>
  <si>
    <t xml:space="preserve">    💚 RDV confirmé              → RDV fixé.</t>
  </si>
  <si>
    <t xml:space="preserve">    ✅ RDV honoré                → Intervention réalisée.</t>
  </si>
  <si>
    <t xml:space="preserve">    ⚫ Non faisable / Annulé     → Dossier fermé.</t>
  </si>
  <si>
    <t>Nom</t>
  </si>
  <si>
    <t>Téléphone</t>
  </si>
  <si>
    <t>Source du lead</t>
  </si>
  <si>
    <t>Gouvernorat</t>
  </si>
  <si>
    <t>Modèle véhicule</t>
  </si>
  <si>
    <t>Service demandé</t>
  </si>
  <si>
    <t>N° Châssis (VIN)</t>
  </si>
  <si>
    <t>Modèle de poste</t>
  </si>
  <si>
    <t>Code Activation</t>
  </si>
  <si>
    <t xml:space="preserve">  ✅  Règles de saisie</t>
  </si>
  <si>
    <t>Date RDV</t>
  </si>
  <si>
    <t>Statut</t>
  </si>
  <si>
    <t>Confirm. J-1</t>
  </si>
  <si>
    <t>Notes</t>
  </si>
  <si>
    <t xml:space="preserve">    1. BMW/Mercedes → N° Châssis (VIN) obligatoire.</t>
  </si>
  <si>
    <t xml:space="preserve">    2. VW/Audi/Cupra → Modèle de poste (vidéo WhatsApp + photo).</t>
  </si>
  <si>
    <t xml:space="preserve">    3. Renseigner Code Activation dès achat de la licence.</t>
  </si>
  <si>
    <t xml:space="preserve">    4. Mettre à jour le Statut à chaque étape — le Dashboard se calcule automatiquement.</t>
  </si>
  <si>
    <t xml:space="preserve">    5. Confirmer RDV à J-1 et cocher Confirm. J-1.</t>
  </si>
  <si>
    <t>deblocar.com  •  Document interne  •  v3</t>
  </si>
  <si>
    <t>DEBLOCAR — Suivi leads  |  Février</t>
  </si>
  <si>
    <t>📈  Taux de transformation</t>
  </si>
  <si>
    <t>RDV honorés ÷ Total leads</t>
  </si>
  <si>
    <t xml:space="preserve">  📋 Répartition par Statut</t>
  </si>
  <si>
    <t>DEBLOCAR — Suivi leads  |  Mars</t>
  </si>
  <si>
    <t xml:space="preserve">  📱 Source des leads</t>
  </si>
  <si>
    <t>Leads</t>
  </si>
  <si>
    <t>Source</t>
  </si>
  <si>
    <t xml:space="preserve">  📅 Volume mensuel des leads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</si>
  <si>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</si>
  <si>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</si>
  <si>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</si>
  <si>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</si>
  <si>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</si>
  <si>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</si>
  <si>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</si>
  <si>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</si>
  <si>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</si>
  <si>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</si>
  <si>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</si>
  <si>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</si>
  <si>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 xml:space="preserve">  🚗 Leads par marque</t>
  </si>
  <si>
    <t>Marque</t>
  </si>
  <si>
    <t>BMW</t>
  </si>
  <si>
    <t>Mercedes</t>
  </si>
  <si>
    <t>Volkswagen</t>
  </si>
  <si>
    <t>Audi</t>
  </si>
  <si>
    <t>Cupra</t>
  </si>
  <si>
    <t>Autres</t>
  </si>
  <si>
    <t>deblocar.com  •  Document interne Deblocar  •  Version 3</t>
  </si>
  <si>
    <t>💡 BMW/Mercedes → N° Châssis (VIN)  |  VW/Audi/Cupra → Modèle de poste  |  Code Activation = code licence acheté  |  Date RDV : format JJ/MM/AAAA</t>
  </si>
  <si>
    <t>DEBLOCAR — Suivi leads  |  Avril</t>
  </si>
  <si>
    <t>DEBLOCAR — Suivi leads  |  Mai</t>
  </si>
  <si>
    <t>DEBLOCAR — Suivi leads  |  Juin</t>
  </si>
  <si>
    <t>Naceur Sayari</t>
  </si>
  <si>
    <t>T-roc</t>
  </si>
  <si>
    <t>3G5035820B</t>
  </si>
  <si>
    <t>Yacine Fendri</t>
  </si>
  <si>
    <t>Mercedes CLA</t>
  </si>
  <si>
    <t xml:space="preserve">W1K1183841N342780
</t>
  </si>
  <si>
    <t>Salwen Mahmoud</t>
  </si>
  <si>
    <t>VW Golf 7.5</t>
  </si>
  <si>
    <t>MST2_EU_VW_ZR_P0475T</t>
  </si>
  <si>
    <t>Hamza Guenenna</t>
  </si>
  <si>
    <t>SEAT leon</t>
  </si>
  <si>
    <t>5F0035824C</t>
  </si>
  <si>
    <t>Il a contacté Yahya directement sur WhatsApp</t>
  </si>
  <si>
    <t>Mohamed Ben Rejeb</t>
  </si>
  <si>
    <t>WDD2040491A363800</t>
  </si>
  <si>
    <t>Amir Charfi</t>
  </si>
  <si>
    <t>W1NK.J5GBXSF357169</t>
  </si>
  <si>
    <t>Hamza BD</t>
  </si>
  <si>
    <t>Youssef Gomri</t>
  </si>
  <si>
    <t>lbluetooth yekhdem ken des appels téléphoniques mayekhdemsh ghne</t>
  </si>
  <si>
    <t>Mohamed Zaier</t>
  </si>
  <si>
    <t>Ibiza</t>
  </si>
  <si>
    <t>Il a contacté l'équipe directement sur WhatsApp</t>
  </si>
  <si>
    <t>Ayoub Lassoued</t>
  </si>
  <si>
    <t>5UXTY5C09M9H51406</t>
  </si>
  <si>
    <t>Nidhal Trabelsi</t>
  </si>
  <si>
    <t>Nissan</t>
  </si>
  <si>
    <t>Ala eddine</t>
  </si>
  <si>
    <t>Nousair Labidi</t>
  </si>
  <si>
    <t>Ahmed Jemai</t>
  </si>
  <si>
    <t>W1K1770821V072657</t>
  </si>
  <si>
    <t>Nejib Sghaier</t>
  </si>
  <si>
    <t>mawjoud fel aouina</t>
  </si>
  <si>
    <t>Walid Chaabane</t>
  </si>
  <si>
    <t>W1N2533531F965819</t>
  </si>
  <si>
    <t>LaLou</t>
  </si>
  <si>
    <t>Audi Q8</t>
  </si>
  <si>
    <t xml:space="preserve">le bluetooth qui ne se connecte pas pour les médias </t>
  </si>
  <si>
    <t>wala bendhif</t>
  </si>
  <si>
    <t>Sofiane Ben Othman</t>
  </si>
  <si>
    <t>W1N2477861J328723</t>
  </si>
  <si>
    <t>Akram Chehdi</t>
  </si>
  <si>
    <t>Rami Mekni</t>
  </si>
  <si>
    <t>MSTD_EU_AU_P3151</t>
  </si>
  <si>
    <t>Hamza El Faleh</t>
  </si>
  <si>
    <t>W1nfb5kb9pa932663</t>
  </si>
  <si>
    <t>Marouen Rouge</t>
  </si>
  <si>
    <t>France</t>
  </si>
  <si>
    <t xml:space="preserve">Skoda </t>
  </si>
  <si>
    <t>Sř Ŕõùřou</t>
  </si>
  <si>
    <t>W1N0G8EB6MV266760</t>
  </si>
  <si>
    <t>Basée à Canada pour le moment</t>
  </si>
  <si>
    <t>Med Ali Bradai</t>
  </si>
  <si>
    <t>Mondher Farhat</t>
  </si>
  <si>
    <t>W1K1770871N337878</t>
  </si>
  <si>
    <t>Ham Za</t>
  </si>
  <si>
    <t>Taoufik D'hamna</t>
  </si>
  <si>
    <t>WBA23EH07PCL79411</t>
  </si>
  <si>
    <t>Nabil Manai</t>
  </si>
  <si>
    <t>Hamza Ben Youssef</t>
  </si>
  <si>
    <t>Chouaib Khémiri</t>
  </si>
  <si>
    <t>WDC1569441J594354</t>
  </si>
  <si>
    <t>Wost jom3a habet l tunis bech ykalamna 9bal kif yet2aked wa9tech habet ==&gt; À rappeler</t>
  </si>
  <si>
    <t>Mehdi Said</t>
  </si>
  <si>
    <t>WDD1760121J427735</t>
  </si>
  <si>
    <t>Rifaii Med</t>
  </si>
  <si>
    <t>WBAXC010X0DZ94862</t>
  </si>
  <si>
    <t>Firas Ben Arous</t>
  </si>
  <si>
    <t>WDD2050041F002278</t>
  </si>
  <si>
    <t>à contacter en cas de passage à Monastir</t>
  </si>
  <si>
    <t>Walid Hamdi</t>
  </si>
  <si>
    <t xml:space="preserve">WDD2050401F060663
</t>
  </si>
  <si>
    <t>Veut fixer un rendez-vous pour vérifier les options activables sur sa voitures et observer les fonctions cachées</t>
  </si>
  <si>
    <t>Khaoula Chargui</t>
  </si>
  <si>
    <t>Hammemi Med</t>
  </si>
  <si>
    <t>WDD1770871J065630</t>
  </si>
  <si>
    <t>Khaled Zoghlemi</t>
  </si>
  <si>
    <t>Ghazi Mekni</t>
  </si>
  <si>
    <t>Android auto+ navigation</t>
  </si>
  <si>
    <t>Moez Essaidi</t>
  </si>
  <si>
    <t>W1N1673541A443173</t>
  </si>
  <si>
    <t>Zied Maazoun</t>
  </si>
  <si>
    <t>Amine Sellami</t>
  </si>
  <si>
    <t>Il demandé de l'informer avant d'arriver à Siliana</t>
  </si>
  <si>
    <t>Sha Hine Dho Kar</t>
  </si>
  <si>
    <t>Hichem Aloui</t>
  </si>
  <si>
    <t>DEBLOCAR — Suivi leads  |  Juillet</t>
  </si>
  <si>
    <t>Youssef Ben Jemaa</t>
  </si>
  <si>
    <t>650DT/ yheb ala rendez-vous wost jom3a jeya</t>
  </si>
  <si>
    <t>Ben Hamida Khaled</t>
  </si>
  <si>
    <t>Hamdi Ezzine</t>
  </si>
  <si>
    <t>il a demandé de plusl'option du changement automatique code phare</t>
  </si>
  <si>
    <t>Med Boukhris</t>
  </si>
  <si>
    <t xml:space="preserve">Il va se déplacer pour activer CarPlay, yheb ala rendez-vous west ejjem3a jeya </t>
  </si>
  <si>
    <t>injoignable</t>
  </si>
  <si>
    <t xml:space="preserve">Fedi ben Salem </t>
  </si>
  <si>
    <t>55 400 703/ 97 600 370</t>
  </si>
  <si>
    <t>WDD2470841J062981</t>
  </si>
  <si>
    <t>Mawjoud f Sahline b3id 5mins ala matar l mestir yheb ala rendez-vous ==&gt; À rappeler</t>
  </si>
  <si>
    <t>annulé</t>
  </si>
  <si>
    <t>Hedi Karray</t>
  </si>
  <si>
    <t>W1KEG1BB9TF076586</t>
  </si>
  <si>
    <t>Majid</t>
  </si>
  <si>
    <t>polo 8</t>
  </si>
  <si>
    <t>App connect</t>
  </si>
  <si>
    <t>MEN2_EU_VWGPxP0180L</t>
  </si>
  <si>
    <t>À rappeler</t>
  </si>
  <si>
    <t>Iyadh Sam</t>
  </si>
  <si>
    <t>Carplay + alarme</t>
  </si>
  <si>
    <t xml:space="preserve">WDD2050401F060663
</t>
  </si>
  <si>
    <t>Jaouher Louzir</t>
  </si>
  <si>
    <t>W1KAF4CB9SR293554</t>
  </si>
  <si>
    <t>à Ben Arous</t>
  </si>
  <si>
    <t>Alarme + navigation</t>
  </si>
  <si>
    <t xml:space="preserve">tawa fi 9orba, dispo jem3a jeya houwa bech yji w yheb les prix </t>
  </si>
  <si>
    <t>l période hethi fel Kairouan ema houwa men Sousse yheb yji houwa l tunis</t>
  </si>
  <si>
    <t>Hichem</t>
  </si>
  <si>
    <t>VW T-Roc</t>
  </si>
  <si>
    <t>Ksour Sef</t>
  </si>
  <si>
    <t>Hmaida</t>
  </si>
  <si>
    <t>indisponible</t>
  </si>
  <si>
    <t>mouch disponible</t>
  </si>
  <si>
    <t>Mohammed khaled hafsa</t>
  </si>
  <si>
    <t>Done</t>
  </si>
  <si>
    <t xml:space="preserve">rendez-vous fel weekend </t>
  </si>
  <si>
    <t>Seat Arona</t>
  </si>
  <si>
    <t>seat arona 2021/ 14h-17h -- borj ras mahdiya confirmé</t>
  </si>
  <si>
    <t>Seat</t>
  </si>
  <si>
    <t xml:space="preserve">Done </t>
  </si>
  <si>
    <t>Iness</t>
  </si>
  <si>
    <t>done</t>
  </si>
  <si>
    <t>Fedy Farhat</t>
  </si>
  <si>
    <t>Skoda kushaq</t>
  </si>
  <si>
    <t>CarPlay + Android Auto</t>
  </si>
  <si>
    <t xml:space="preserve">Mercedes </t>
  </si>
  <si>
    <t>Khaled Sghaier</t>
  </si>
  <si>
    <t>Mercedes G class  + Porsche</t>
  </si>
  <si>
    <t>Navigation+ options cachées</t>
  </si>
  <si>
    <t>Rjab khlifa</t>
  </si>
  <si>
    <t>Taigo</t>
  </si>
  <si>
    <t>Jam</t>
  </si>
  <si>
    <t>Abd Razzek Chaouech</t>
  </si>
  <si>
    <t>Ghaith(Rafrafi Chiheb Eddine)</t>
  </si>
  <si>
    <t>Farouk</t>
  </si>
  <si>
    <t>WBAKS410X0LE51802</t>
  </si>
  <si>
    <t>Yosri</t>
  </si>
  <si>
    <t>Tiguan</t>
  </si>
  <si>
    <t>Ksibet el medouni</t>
  </si>
  <si>
    <t>Aymen Souissi</t>
  </si>
  <si>
    <t>MST2_EU_VW_P0876D</t>
  </si>
  <si>
    <t>ma jewebch</t>
  </si>
  <si>
    <t>Wajdi Tastouri</t>
  </si>
  <si>
    <t>Seat Leon</t>
  </si>
  <si>
    <t>Full Link</t>
  </si>
  <si>
    <t>non-faisable</t>
  </si>
  <si>
    <t>tlaa ndou Problème de poste</t>
  </si>
  <si>
    <t>Rafik Soussi</t>
  </si>
  <si>
    <t>annulé!</t>
  </si>
  <si>
    <t>Bech yji houwa w ken famma passage l Nabeul nkalmouh==&gt; amalha fi Nabeul</t>
  </si>
  <si>
    <t>Mouldi Slama</t>
  </si>
  <si>
    <t>29343172 / 52977996</t>
  </si>
  <si>
    <t>W1K2060541F025677</t>
  </si>
  <si>
    <t>karhba mouch andou l weekend hetha (18/19) yamel verification w yconfirmilna</t>
  </si>
  <si>
    <t>Nvigation + Android Auto</t>
  </si>
  <si>
    <t>il préfère yji houwa l tunis, dispo le 05/08</t>
  </si>
  <si>
    <t>Marwen ben nasser</t>
  </si>
  <si>
    <t>mercedes</t>
  </si>
  <si>
    <t>gadget + navigateur + alarme</t>
  </si>
  <si>
    <t>telifounou msakker</t>
  </si>
  <si>
    <t>whatsapp</t>
  </si>
  <si>
    <t>Mercedes classe A</t>
  </si>
  <si>
    <t>20/07/2026</t>
  </si>
  <si>
    <t>Mahmoud</t>
  </si>
  <si>
    <t>W1N2477841 J325383</t>
  </si>
  <si>
    <t xml:space="preserve">20/07 mouch dispo </t>
  </si>
  <si>
    <t>1(418)2710736</t>
  </si>
  <si>
    <t>Hammamet</t>
  </si>
  <si>
    <t>Navigation</t>
  </si>
  <si>
    <t>W1N0J8EBXNG049669</t>
  </si>
  <si>
    <t>25/07/2026</t>
  </si>
  <si>
    <t>Hammamet (NTG6)</t>
  </si>
  <si>
    <t>Soufian Ayad</t>
  </si>
  <si>
    <t>WDD2050771F768301</t>
  </si>
  <si>
    <t>10 aout ysefer yheb ala rendez-vous 9bal il est déja disponible</t>
  </si>
  <si>
    <t>Karim Lahyeni</t>
  </si>
  <si>
    <t>ma yjewebch</t>
  </si>
  <si>
    <t>Adly</t>
  </si>
  <si>
    <t>WBA51FS060FP63850</t>
  </si>
  <si>
    <t>jey l tunis mercredi</t>
  </si>
  <si>
    <t>Manai Mouhammed</t>
  </si>
  <si>
    <t>MST2_EU_AU_P0314D</t>
  </si>
  <si>
    <t>Hors ligne</t>
  </si>
  <si>
    <t>confirmé par appel</t>
  </si>
  <si>
    <t>Demain disponible fi sfax</t>
  </si>
  <si>
    <t>Lyoum dispo w demain msefer</t>
  </si>
  <si>
    <t xml:space="preserve">Done khalelna avance bech njiboulou sd card (200 DT) </t>
  </si>
  <si>
    <t xml:space="preserve">Done khalelna avance bech njiboulou sd card </t>
  </si>
  <si>
    <t>Slim Fendri</t>
  </si>
  <si>
    <t>mayhezech</t>
  </si>
  <si>
    <t>Med Triki</t>
  </si>
  <si>
    <t>messenger</t>
  </si>
  <si>
    <t>Il va passer à tunis</t>
  </si>
  <si>
    <t>Mosaab Hadj Sassi</t>
  </si>
  <si>
    <t>BMW x2 2021</t>
  </si>
  <si>
    <t>Navigation+ CarPlay</t>
  </si>
  <si>
    <t>nkalmouh kif nemchiw l Sfax</t>
  </si>
  <si>
    <t>Hamma Boughanmi</t>
  </si>
  <si>
    <t>CarPlay</t>
  </si>
  <si>
    <t>MST2</t>
  </si>
  <si>
    <t>weekend dispo</t>
  </si>
  <si>
    <t>Yassine rais</t>
  </si>
  <si>
    <t>Hamdi</t>
  </si>
  <si>
    <t>Yji l touness dans deux jours snn nemchiwlou l Sousse==&gt; Update: num injoignable</t>
  </si>
  <si>
    <t>Makram Grissa</t>
  </si>
  <si>
    <t>W1NFDGB9RB193451</t>
  </si>
  <si>
    <t>annulation</t>
  </si>
  <si>
    <t xml:space="preserve">Kallem chkoun ekehr w 3mal l'activation </t>
  </si>
  <si>
    <t>محمد هيثم بن مخلوف</t>
  </si>
  <si>
    <t>Majdi</t>
  </si>
  <si>
    <t>Karim Ben Khedher</t>
  </si>
  <si>
    <t>le 06/08</t>
  </si>
  <si>
    <t>Abdeljlil ltaeif</t>
  </si>
  <si>
    <t>dignostic+alarme</t>
  </si>
  <si>
    <t>W1N2539811F800561</t>
  </si>
  <si>
    <t>50 694 256</t>
  </si>
  <si>
    <t>Carplay</t>
  </si>
  <si>
    <t>Noureddine Bhiri</t>
  </si>
  <si>
    <t>Msaken</t>
  </si>
  <si>
    <t>GPS</t>
  </si>
  <si>
    <t>Walid</t>
  </si>
  <si>
    <t>W1N2539531F958823</t>
  </si>
  <si>
    <t>Navigation+ caméra de récul+ options cachées</t>
  </si>
  <si>
    <t>W1K1183861N279146</t>
  </si>
  <si>
    <t>26/07/2026</t>
  </si>
  <si>
    <t>maaroufi ghaleb</t>
  </si>
  <si>
    <t>Oussama Tarchalla</t>
  </si>
  <si>
    <t>W1KAF5EB4PR083583</t>
  </si>
  <si>
    <t>Sami Bghouri</t>
  </si>
  <si>
    <t>bech yji houwa lundi le 13</t>
  </si>
  <si>
    <t>W1N2476121W080816</t>
  </si>
  <si>
    <t>Bech yji houwa le 13</t>
  </si>
  <si>
    <t>Zied Allani</t>
  </si>
  <si>
    <t>W1K1183871N226457</t>
  </si>
  <si>
    <t>yji houwa jeudi ou vendredi</t>
  </si>
  <si>
    <t>Houssem</t>
  </si>
  <si>
    <t>WBA31AC0305P95847</t>
  </si>
  <si>
    <t>non compatible</t>
  </si>
  <si>
    <t>W1N2539131V275093</t>
  </si>
  <si>
    <t>le 28</t>
  </si>
  <si>
    <t>Semah Bousif</t>
  </si>
  <si>
    <t>CLA</t>
  </si>
  <si>
    <t>W1K1183861N254410</t>
  </si>
  <si>
    <t>Il prévoit de visiter notre local. J'attends son numéro afin de fixer un rendez-vous.</t>
  </si>
  <si>
    <t>navigation + alarme</t>
  </si>
  <si>
    <t>num indisponible</t>
  </si>
  <si>
    <t>Wael Bayoudh</t>
  </si>
  <si>
    <t>Ayoub hmema</t>
  </si>
  <si>
    <t>Android Auto+ Navigation</t>
  </si>
  <si>
    <t>Ala Eddinne Mili</t>
  </si>
  <si>
    <t>jammel</t>
  </si>
  <si>
    <t>Merceds Classe A</t>
  </si>
  <si>
    <t>W1K1770841N223462</t>
  </si>
  <si>
    <t>avance ala gadget CarPlay</t>
  </si>
  <si>
    <t>rendez-vous: 9h</t>
  </si>
  <si>
    <t>Abdallah</t>
  </si>
  <si>
    <t>Habib Ouerghemmi</t>
  </si>
  <si>
    <t>Hatem Bennys</t>
  </si>
  <si>
    <t>Fahmi Mahjoub</t>
  </si>
  <si>
    <t>il va passer ychouf chnowa ynajem yekhdem sur place</t>
  </si>
  <si>
    <t>Hatem By</t>
  </si>
  <si>
    <t>Skoda</t>
  </si>
  <si>
    <t>Alarme, Wireless CarPlay+ Camera recul</t>
  </si>
  <si>
    <t>.</t>
  </si>
  <si>
    <t>29/08/2026</t>
  </si>
  <si>
    <t>mezel Camera recul</t>
  </si>
  <si>
    <t>Bilel Chalghaf</t>
  </si>
  <si>
    <t>yrawah l touness fi aout ykllmna</t>
  </si>
  <si>
    <t>DEBLOCAR — Suivi leads  |  Août</t>
  </si>
  <si>
    <t>Asma Ben Amor</t>
  </si>
  <si>
    <t>Box interface android</t>
  </si>
  <si>
    <t>ki njiw lsoussa nkalamha (ce weekend)</t>
  </si>
  <si>
    <t>Enis Brahem</t>
  </si>
  <si>
    <t xml:space="preserve">WDD2050401F806086
</t>
  </si>
  <si>
    <t>maadesh yheb yekhdem</t>
  </si>
  <si>
    <t>Sartoria Moderna</t>
  </si>
  <si>
    <t>contact him on WhatsApp</t>
  </si>
  <si>
    <t>Chaari Omar</t>
  </si>
  <si>
    <t>range rover</t>
  </si>
  <si>
    <t>Diagnostique</t>
  </si>
  <si>
    <t>Fares</t>
  </si>
  <si>
    <t>l'écran mbadel, yheb nhelouhoulou w nchoufou li ma yekhdemsh lkol b nafs soum l carplay (150d)</t>
  </si>
  <si>
    <t>Zied Turki</t>
  </si>
  <si>
    <t>Je w ma eejboush soum kal yzid ykhamem</t>
  </si>
  <si>
    <t>Mehdi Ben Brahim</t>
  </si>
  <si>
    <t>Navigation + My BMW</t>
  </si>
  <si>
    <t>WBA11FJ020CR12952</t>
  </si>
  <si>
    <t>Habib Jouini</t>
  </si>
  <si>
    <t>WBA7K310X07L12551</t>
  </si>
  <si>
    <t>Hassen Dakhlaoui</t>
  </si>
  <si>
    <t>WBA61DP0509K32865</t>
  </si>
  <si>
    <t>Faouzi Chaouch</t>
  </si>
  <si>
    <t>W1K1770841J210901</t>
  </si>
  <si>
    <t>Mohsen men tabarka</t>
  </si>
  <si>
    <t>Alarme</t>
  </si>
  <si>
    <t>Alaeddine Boudawara</t>
  </si>
  <si>
    <t>navigation + android auto</t>
  </si>
  <si>
    <t>WBA61DP0509N72520</t>
  </si>
  <si>
    <t>laashia</t>
  </si>
  <si>
    <t>Licences</t>
  </si>
  <si>
    <t>DEBLOCAR — Suivi leads  |  Septembre</t>
  </si>
  <si>
    <t>Najeh ben mohamed</t>
  </si>
  <si>
    <t>Options cachées</t>
  </si>
  <si>
    <t>5UX33EX05R9T14905</t>
  </si>
  <si>
    <t>Khaled Seghaier</t>
  </si>
  <si>
    <t xml:space="preserve">Mohamed </t>
  </si>
  <si>
    <t>Mercedes G classe</t>
  </si>
  <si>
    <t>start &amp; Stop+ Navigation</t>
  </si>
  <si>
    <t>W1N4632761X449743</t>
  </si>
  <si>
    <t>Oussama</t>
  </si>
  <si>
    <t>DEBLOCAR — Suivi leads  |  Octobre</t>
  </si>
  <si>
    <t>importé de chine</t>
  </si>
  <si>
    <t>Tarek</t>
  </si>
  <si>
    <t>Diagnostic</t>
  </si>
  <si>
    <t>bechir hsan</t>
  </si>
  <si>
    <t>Ghassen Sanaa</t>
  </si>
  <si>
    <t>Navigation + android auto + My BMW</t>
  </si>
  <si>
    <t>WBA61DP0409L33251</t>
  </si>
  <si>
    <t>MH2p_ER_AU_P2493</t>
  </si>
  <si>
    <t>bech yarjaali yconfirmili</t>
  </si>
  <si>
    <t>Ramzi haj salah</t>
  </si>
  <si>
    <t>Med Myral</t>
  </si>
  <si>
    <t>Pack Licences + alarme + AMG</t>
  </si>
  <si>
    <t>WDD1183031N073481</t>
  </si>
  <si>
    <t>W1KAF8HB6SR262651</t>
  </si>
  <si>
    <t>à rappeler</t>
  </si>
  <si>
    <t>Nadim Hammami</t>
  </si>
  <si>
    <t>Chebba</t>
  </si>
  <si>
    <t>Pack Licences</t>
  </si>
  <si>
    <t>W1K1186871N266246</t>
  </si>
  <si>
    <t>Mohamed</t>
  </si>
  <si>
    <t>Mercedes Gen20x</t>
  </si>
  <si>
    <t>W1KLF0JBXTA213411</t>
  </si>
  <si>
    <t>Achref Besbes</t>
  </si>
  <si>
    <t>mercedes GLA</t>
  </si>
  <si>
    <t xml:space="preserve">W1N2477861J336601
</t>
  </si>
  <si>
    <t>les weekends mahoush fi sfax, il préfère yji houa ki yahbet ltounes nkalmou</t>
  </si>
  <si>
    <t>Yacine Ichi</t>
  </si>
  <si>
    <t>Elghoul Travel</t>
  </si>
  <si>
    <t>MG</t>
  </si>
  <si>
    <t>Ken jina l sfax nkalmouh sinon tw yetaadelna l tounes</t>
  </si>
  <si>
    <t>Mohamed Amin Chokri</t>
  </si>
  <si>
    <t>T-Roc 2024</t>
  </si>
  <si>
    <t>Navigation+alarme+Rline</t>
  </si>
  <si>
    <t>nkalmouh ki njiw l gafsa</t>
  </si>
  <si>
    <t>Foued barkaoui</t>
  </si>
  <si>
    <t>Gassrine</t>
  </si>
  <si>
    <t>Navigation + mise a jour</t>
  </si>
  <si>
    <t>nkalmouh k njiw ll gassrine</t>
  </si>
  <si>
    <t>DEBLOCAR — Suivi leads  |  Novembre</t>
  </si>
  <si>
    <t>DEBLOCAR — Suivi leads  |  Décembre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</si>
</sst>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Arial"/>
    </font>
    <font>
      <b/>
      <sz val="32.0"/>
      <color rgb="FFE94560"/>
      <name val="Arial"/>
    </font>
    <font/>
    <font>
      <sz val="13.0"/>
      <color rgb="FFF5A623"/>
      <name val="Arial"/>
    </font>
    <font>
      <sz val="10.0"/>
      <color rgb="FFF5A623"/>
      <name val="Arial"/>
    </font>
    <font>
      <b/>
      <sz val="11.0"/>
      <color rgb="FFFFFFFF"/>
      <name val="Arial"/>
    </font>
    <font>
      <sz val="10.0"/>
      <color rgb="FF2D3748"/>
      <name val="Arial"/>
    </font>
    <font>
      <b/>
      <sz val="11.0"/>
      <color rgb="FFF5A623"/>
      <name val="Arial"/>
    </font>
    <font>
      <b/>
      <sz val="11.0"/>
      <color rgb="FF6EE7B7"/>
      <name val="Arial"/>
    </font>
    <font>
      <b/>
      <sz val="11.0"/>
      <color rgb="FFC4B5FD"/>
      <name val="Arial"/>
    </font>
    <font>
      <b/>
      <sz val="13.0"/>
      <color rgb="FFFFFFFF"/>
      <name val="Arial"/>
    </font>
    <font>
      <b/>
      <sz val="8.0"/>
      <color rgb="FF1D4ED8"/>
      <name val="Arial"/>
    </font>
    <font>
      <b/>
      <sz val="8.0"/>
      <color rgb="FF92400E"/>
      <name val="Arial"/>
    </font>
    <font>
      <b/>
      <sz val="8.0"/>
      <color rgb="FFB91C1C"/>
      <name val="Arial"/>
    </font>
    <font>
      <b/>
      <sz val="8.0"/>
      <color rgb="FF78350F"/>
      <name val="Arial"/>
    </font>
    <font>
      <b/>
      <sz val="8.0"/>
      <color rgb="FF065F46"/>
      <name val="Arial"/>
    </font>
    <font>
      <b/>
      <sz val="8.0"/>
      <color rgb="FF047857"/>
      <name val="Arial"/>
    </font>
    <font>
      <b/>
      <sz val="8.0"/>
      <color rgb="FF064E3B"/>
      <name val="Arial"/>
    </font>
    <font>
      <b/>
      <sz val="32.0"/>
      <color rgb="FFF5A623"/>
      <name val="Arial"/>
    </font>
    <font>
      <b/>
      <sz val="8.0"/>
      <color rgb="FF6B7280"/>
      <name val="Arial"/>
    </font>
    <font>
      <b/>
      <sz val="8.0"/>
      <color rgb="FF9CA3AF"/>
      <name val="Arial"/>
    </font>
    <font>
      <b/>
      <sz val="10.0"/>
      <color rgb="FFFFFFFF"/>
      <name val="Arial"/>
    </font>
    <font>
      <i/>
      <sz val="9.0"/>
      <color rgb="FF9CA3AF"/>
      <name val="Arial"/>
    </font>
    <font>
      <b/>
      <sz val="32.0"/>
      <color rgb="FF6EE7B7"/>
      <name val="Arial"/>
    </font>
    <font>
      <b/>
      <sz val="32.0"/>
      <color rgb="FFC4B5FD"/>
      <name val="Arial"/>
    </font>
    <font>
      <b/>
      <sz val="14.0"/>
      <color rgb="FF047857"/>
      <name val="Arial"/>
    </font>
    <font>
      <i/>
      <sz val="9.0"/>
      <color rgb="FF6B7280"/>
      <name val="Arial"/>
    </font>
    <font>
      <b/>
      <sz val="10.0"/>
      <color rgb="FF1D4ED8"/>
      <name val="Arial"/>
    </font>
    <font>
      <b/>
      <sz val="12.0"/>
      <color rgb="FF1D4ED8"/>
      <name val="Arial"/>
    </font>
    <font>
      <b/>
      <sz val="10.0"/>
      <color rgb="FF25D366"/>
      <name val="Arial"/>
    </font>
    <font>
      <b/>
      <sz val="12.0"/>
      <color rgb="FF25D366"/>
      <name val="Arial"/>
    </font>
    <font>
      <b/>
      <sz val="10.0"/>
      <color rgb="FF92400E"/>
      <name val="Arial"/>
    </font>
    <font>
      <b/>
      <sz val="12.0"/>
      <color rgb="FF92400E"/>
      <name val="Arial"/>
    </font>
    <font>
      <b/>
      <sz val="10.0"/>
      <color rgb="FFC13584"/>
      <name val="Arial"/>
    </font>
    <font>
      <b/>
      <sz val="12.0"/>
      <color rgb="FFC13584"/>
      <name val="Arial"/>
    </font>
    <font>
      <b/>
      <sz val="10.0"/>
      <color rgb="FFB91C1C"/>
      <name val="Arial"/>
    </font>
    <font>
      <b/>
      <sz val="12.0"/>
      <color rgb="FFB91C1C"/>
      <name val="Arial"/>
    </font>
    <font>
      <b/>
      <sz val="10.0"/>
      <color rgb="FF0084FF"/>
      <name val="Arial"/>
    </font>
    <font>
      <b/>
      <sz val="12.0"/>
      <color rgb="FF0084FF"/>
      <name val="Arial"/>
    </font>
    <font>
      <b/>
      <sz val="10.0"/>
      <color rgb="FF78350F"/>
      <name val="Arial"/>
    </font>
    <font>
      <b/>
      <sz val="12.0"/>
      <color rgb="FF78350F"/>
      <name val="Arial"/>
    </font>
    <font>
      <b/>
      <sz val="10.0"/>
      <color rgb="FFF57C00"/>
      <name val="Arial"/>
    </font>
    <font>
      <b/>
      <sz val="12.0"/>
      <color rgb="FFF57C00"/>
      <name val="Arial"/>
    </font>
    <font>
      <b/>
      <sz val="10.0"/>
      <color rgb="FF065F46"/>
      <name val="Arial"/>
    </font>
    <font>
      <b/>
      <sz val="12.0"/>
      <color rgb="FF065F46"/>
      <name val="Arial"/>
    </font>
    <font>
      <b/>
      <sz val="10.0"/>
      <color rgb="FF69C9D0"/>
      <name val="Arial"/>
    </font>
    <font>
      <b/>
      <sz val="12.0"/>
      <color rgb="FF69C9D0"/>
      <name val="Arial"/>
    </font>
    <font>
      <b/>
      <sz val="10.0"/>
      <color rgb="FF047857"/>
      <name val="Arial"/>
    </font>
    <font>
      <b/>
      <sz val="12.0"/>
      <color rgb="FF047857"/>
      <name val="Arial"/>
    </font>
    <font>
      <b/>
      <sz val="10.0"/>
      <color rgb="FF1877F2"/>
      <name val="Arial"/>
    </font>
    <font>
      <b/>
      <sz val="12.0"/>
      <color rgb="FF1877F2"/>
      <name val="Arial"/>
    </font>
    <font>
      <b/>
      <sz val="10.0"/>
      <color rgb="FF064E3B"/>
      <name val="Arial"/>
    </font>
    <font>
      <b/>
      <sz val="12.0"/>
      <color rgb="FF064E3B"/>
      <name val="Arial"/>
    </font>
    <font>
      <b/>
      <sz val="10.0"/>
      <color rgb="FF757575"/>
      <name val="Arial"/>
    </font>
    <font>
      <b/>
      <sz val="12.0"/>
      <color rgb="FF757575"/>
      <name val="Arial"/>
    </font>
    <font>
      <b/>
      <sz val="10.0"/>
      <color rgb="FF6B7280"/>
      <name val="Arial"/>
    </font>
    <font>
      <b/>
      <sz val="12.0"/>
      <color rgb="FF6B7280"/>
      <name val="Arial"/>
    </font>
    <font>
      <b/>
      <sz val="10.0"/>
      <color rgb="FF9CA3AF"/>
      <name val="Arial"/>
    </font>
    <font>
      <b/>
      <sz val="12.0"/>
      <color rgb="FF9CA3AF"/>
      <name val="Arial"/>
    </font>
    <font>
      <b/>
      <sz val="13.0"/>
      <color rgb="FF0F3460"/>
      <name val="Arial"/>
    </font>
    <font>
      <b/>
      <sz val="10.0"/>
      <color rgb="FF1565C0"/>
      <name val="Arial"/>
    </font>
    <font>
      <b/>
      <sz val="12.0"/>
      <color rgb="FF1565C0"/>
      <name val="Arial"/>
    </font>
    <font>
      <b/>
      <sz val="10.0"/>
      <color rgb="FF2E7D32"/>
      <name val="Arial"/>
    </font>
    <font>
      <b/>
      <sz val="12.0"/>
      <color rgb="FF2E7D32"/>
      <name val="Arial"/>
    </font>
    <font>
      <b/>
      <sz val="10.0"/>
      <color rgb="FFE65100"/>
      <name val="Arial"/>
    </font>
    <font>
      <b/>
      <sz val="12.0"/>
      <color rgb="FFE65100"/>
      <name val="Arial"/>
    </font>
    <font>
      <b/>
      <sz val="10.0"/>
      <color rgb="FFC62828"/>
      <name val="Arial"/>
    </font>
    <font>
      <b/>
      <sz val="12.0"/>
      <color rgb="FFC62828"/>
      <name val="Arial"/>
    </font>
    <font>
      <b/>
      <sz val="10.0"/>
      <color rgb="FF6A1B9A"/>
      <name val="Arial"/>
    </font>
    <font>
      <b/>
      <sz val="12.0"/>
      <color rgb="FF6A1B9A"/>
      <name val="Arial"/>
    </font>
    <font>
      <sz val="10.0"/>
      <color rgb="FF064E3B"/>
      <name val="Arial"/>
    </font>
    <font>
      <sz val="10.0"/>
      <color rgb="FF047857"/>
      <name val="Arial"/>
    </font>
    <font>
      <i/>
      <sz val="10.0"/>
      <color rgb="FF064E3B"/>
      <name val="Arial"/>
    </font>
    <font>
      <i/>
      <sz val="10.0"/>
      <color rgb="FF047857"/>
      <name val="Arial"/>
    </font>
    <font>
      <sz val="10.0"/>
      <color rgb="FF78350F"/>
      <name val="Arial"/>
    </font>
    <font>
      <i/>
      <sz val="10.0"/>
      <color rgb="FF78350F"/>
      <name val="Arial"/>
    </font>
    <font>
      <sz val="10.0"/>
      <color rgb="FFB91C1C"/>
      <name val="Arial"/>
    </font>
    <font>
      <i/>
      <sz val="10.0"/>
      <color rgb="FFB91C1C"/>
      <name val="Arial"/>
    </font>
    <font>
      <color theme="1"/>
      <name val="Arial"/>
    </font>
    <font>
      <color rgb="FF047857"/>
      <name val="Arial"/>
    </font>
    <font>
      <color rgb="FF78350F"/>
      <name val="Arial"/>
    </font>
    <font>
      <b/>
      <color theme="1"/>
      <name val="Arial"/>
    </font>
    <font>
      <color rgb="FF9CA3AF"/>
      <name val="Arial"/>
    </font>
    <font>
      <color rgb="FF2D3748"/>
      <name val="Arial"/>
    </font>
  </fonts>
  <fills count="40">
    <fill>
      <patternFill patternType="none"/>
    </fill>
    <fill>
      <patternFill patternType="lightGray"/>
    </fill>
    <fill>
      <patternFill patternType="solid">
        <fgColor rgb="FFF4F6FA"/>
        <bgColor rgb="FFF4F6FA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0F3460"/>
        <bgColor rgb="FF0F3460"/>
      </patternFill>
    </fill>
    <fill>
      <patternFill patternType="solid">
        <fgColor rgb="FFEEF2FF"/>
        <bgColor rgb="FFEEF2FF"/>
      </patternFill>
    </fill>
    <fill>
      <patternFill patternType="solid">
        <fgColor rgb="FF064E3B"/>
        <bgColor rgb="FF064E3B"/>
      </patternFill>
    </fill>
    <fill>
      <patternFill patternType="solid">
        <fgColor rgb="FF4C1D95"/>
        <bgColor rgb="FF4C1D95"/>
      </patternFill>
    </fill>
    <fill>
      <patternFill patternType="solid">
        <fgColor rgb="FFDBEAFE"/>
        <bgColor rgb="FFDBEAFE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FDE68A"/>
        <bgColor rgb="FFFDE68A"/>
      </patternFill>
    </fill>
    <fill>
      <patternFill patternType="solid">
        <fgColor rgb="FFD1FAE5"/>
        <bgColor rgb="FFD1FAE5"/>
      </patternFill>
    </fill>
    <fill>
      <patternFill patternType="solid">
        <fgColor rgb="FFA7F3D0"/>
        <bgColor rgb="FFA7F3D0"/>
      </patternFill>
    </fill>
    <fill>
      <patternFill patternType="solid">
        <fgColor rgb="FF6EE7B7"/>
        <bgColor rgb="FF6EE7B7"/>
      </patternFill>
    </fill>
    <fill>
      <patternFill patternType="solid">
        <fgColor rgb="FFF3F4F6"/>
        <bgColor rgb="FFF3F4F6"/>
      </patternFill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5A623"/>
        <bgColor rgb="FFF5A623"/>
      </patternFill>
    </fill>
    <fill>
      <patternFill patternType="solid">
        <fgColor rgb="FFC4B5FD"/>
        <bgColor rgb="FFC4B5FD"/>
      </patternFill>
    </fill>
    <fill>
      <patternFill patternType="solid">
        <fgColor rgb="FFE7F5EC"/>
        <bgColor rgb="FFE7F5EC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E8EAF6"/>
        <bgColor rgb="FFE8EAF6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1F5F9"/>
        <bgColor rgb="FFF1F5F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</border>
    <border>
      <left style="thin">
        <color rgb="FFD0D7E8"/>
      </left>
      <top style="thin">
        <color rgb="FFD0D7E8"/>
      </top>
      <bottom style="thin">
        <color rgb="FFD0D7E8"/>
      </bottom>
    </border>
    <border>
      <top style="thin">
        <color rgb="FFD0D7E8"/>
      </top>
      <bottom style="thin">
        <color rgb="FFD0D7E8"/>
      </bottom>
    </border>
    <border>
      <right style="thin">
        <color rgb="FFD0D7E8"/>
      </right>
      <top style="thin">
        <color rgb="FFD0D7E8"/>
      </top>
      <bottom style="thin">
        <color rgb="FFD0D7E8"/>
      </bottom>
    </border>
    <border>
      <left style="thin">
        <color rgb="FFD0D7E8"/>
      </left>
      <right style="thin">
        <color rgb="FFD0D7E8"/>
      </right>
      <top style="thin">
        <color rgb="FFD0D7E8"/>
      </top>
    </border>
    <border>
      <left style="thin">
        <color rgb="FFD0D7E8"/>
      </left>
      <right style="thin">
        <color rgb="FFD0D7E8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D0D7E8"/>
      </right>
      <top style="thin">
        <color rgb="FF000000"/>
      </top>
      <bottom style="thin">
        <color rgb="FF000000"/>
      </bottom>
    </border>
    <border>
      <left style="thin">
        <color rgb="FFD0D7E8"/>
      </left>
      <right style="thin">
        <color rgb="FFD0D7E8"/>
      </right>
      <bottom style="thin">
        <color rgb="FFD0D7E8"/>
      </bottom>
    </border>
    <border>
      <top style="thin">
        <color rgb="FFD0D7E8"/>
      </top>
    </border>
    <border>
      <right style="thin">
        <color rgb="FFD0D7E8"/>
      </right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3" fontId="6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shrinkToFit="0" vertical="bottom" wrapText="0"/>
    </xf>
    <xf borderId="2" fillId="6" fontId="8" numFmtId="0" xfId="0" applyAlignment="1" applyBorder="1" applyFill="1" applyFont="1">
      <alignment horizontal="left" shrinkToFit="0" vertical="center" wrapText="1"/>
    </xf>
    <xf borderId="2" fillId="7" fontId="9" numFmtId="0" xfId="0" applyAlignment="1" applyBorder="1" applyFill="1" applyFont="1">
      <alignment horizontal="left" shrinkToFit="0" vertical="center" wrapText="1"/>
    </xf>
    <xf borderId="2" fillId="6" fontId="10" numFmtId="0" xfId="0" applyAlignment="1" applyBorder="1" applyFill="1" applyFont="1">
      <alignment horizontal="center" shrinkToFit="0" vertical="center" wrapText="1"/>
    </xf>
    <xf borderId="2" fillId="8" fontId="11" numFmtId="0" xfId="0" applyAlignment="1" applyBorder="1" applyFill="1" applyFont="1">
      <alignment horizontal="center" shrinkToFit="0" vertical="center" wrapText="1"/>
    </xf>
    <xf borderId="2" fillId="9" fontId="12" numFmtId="0" xfId="0" applyAlignment="1" applyBorder="1" applyFill="1" applyFont="1">
      <alignment horizontal="center" shrinkToFit="0" vertical="center" wrapText="1"/>
    </xf>
    <xf borderId="2" fillId="6" fontId="13" numFmtId="0" xfId="0" applyAlignment="1" applyBorder="1" applyFill="1" applyFont="1">
      <alignment horizontal="center" shrinkToFit="0" vertical="center" wrapText="1"/>
    </xf>
    <xf borderId="5" fillId="10" fontId="14" numFmtId="0" xfId="0" applyAlignment="1" applyBorder="1" applyFill="1" applyFont="1">
      <alignment horizontal="center" shrinkToFit="0" vertical="center" wrapText="1"/>
    </xf>
    <xf borderId="5" fillId="11" fontId="15" numFmtId="0" xfId="0" applyAlignment="1" applyBorder="1" applyFill="1" applyFont="1">
      <alignment horizontal="center" shrinkToFit="0" vertical="center" wrapText="1"/>
    </xf>
    <xf borderId="5" fillId="12" fontId="16" numFmtId="0" xfId="0" applyAlignment="1" applyBorder="1" applyFill="1" applyFont="1">
      <alignment horizontal="center" shrinkToFit="0" vertical="center" wrapText="1"/>
    </xf>
    <xf borderId="2" fillId="7" fontId="9" numFmtId="0" xfId="0" applyAlignment="1" applyBorder="1" applyFill="1" applyFont="1">
      <alignment horizontal="left" readingOrder="0" shrinkToFit="0" vertical="center" wrapText="1"/>
    </xf>
    <xf borderId="5" fillId="13" fontId="17" numFmtId="0" xfId="0" applyAlignment="1" applyBorder="1" applyFill="1" applyFont="1">
      <alignment horizontal="center" shrinkToFit="0" vertical="center" wrapText="1"/>
    </xf>
    <xf borderId="5" fillId="14" fontId="18" numFmtId="0" xfId="0" applyAlignment="1" applyBorder="1" applyFill="1" applyFont="1">
      <alignment horizontal="center" shrinkToFit="0" vertical="center" wrapText="1"/>
    </xf>
    <xf borderId="5" fillId="15" fontId="19" numFmtId="0" xfId="0" applyAlignment="1" applyBorder="1" applyFill="1" applyFont="1">
      <alignment horizontal="center" shrinkToFit="0" vertical="center" wrapText="1"/>
    </xf>
    <xf borderId="5" fillId="16" fontId="20" numFmtId="0" xfId="0" applyAlignment="1" applyBorder="1" applyFill="1" applyFont="1">
      <alignment horizontal="center" shrinkToFit="0" vertical="center" wrapText="1"/>
    </xf>
    <xf borderId="2" fillId="6" fontId="21" numFmtId="0" xfId="0" applyAlignment="1" applyBorder="1" applyFill="1" applyFont="1">
      <alignment horizontal="center" shrinkToFit="0" vertical="center" wrapText="1"/>
    </xf>
    <xf borderId="5" fillId="17" fontId="22" numFmtId="0" xfId="0" applyAlignment="1" applyBorder="1" applyFill="1" applyFont="1">
      <alignment horizontal="center" shrinkToFit="0" vertical="center" wrapText="1"/>
    </xf>
    <xf borderId="5" fillId="18" fontId="23" numFmtId="0" xfId="0" applyAlignment="1" applyBorder="1" applyFill="1" applyFont="1">
      <alignment horizontal="center" shrinkToFit="0" vertical="center" wrapText="1"/>
    </xf>
    <xf borderId="5" fillId="3" fontId="24" numFmtId="0" xfId="0" applyAlignment="1" applyBorder="1" applyFill="1" applyFont="1">
      <alignment horizontal="center" shrinkToFit="0" vertical="center" wrapText="1"/>
    </xf>
    <xf borderId="5" fillId="19" fontId="9" numFmtId="0" xfId="0" applyAlignment="1" applyBorder="1" applyFill="1" applyFont="1">
      <alignment shrinkToFit="0" vertical="bottom" wrapText="0"/>
    </xf>
    <xf borderId="2" fillId="2" fontId="25" numFmtId="0" xfId="0" applyAlignment="1" applyBorder="1" applyFill="1" applyFont="1">
      <alignment horizontal="center" shrinkToFit="0" vertical="center" wrapText="1"/>
    </xf>
    <xf borderId="5" fillId="19" fontId="9" numFmtId="164" xfId="0" applyAlignment="1" applyBorder="1" applyFill="1" applyFont="1" applyNumberFormat="1">
      <alignment shrinkToFit="0" vertical="bottom" wrapText="0"/>
    </xf>
    <xf borderId="2" fillId="8" fontId="26" numFmtId="0" xfId="0" applyAlignment="1" applyBorder="1" applyFill="1" applyFont="1">
      <alignment horizontal="center" shrinkToFit="0" vertical="center" wrapText="1"/>
    </xf>
    <xf borderId="5" fillId="20" fontId="9" numFmtId="0" xfId="0" applyAlignment="1" applyBorder="1" applyFill="1" applyFont="1">
      <alignment shrinkToFit="0" vertical="bottom" wrapText="0"/>
    </xf>
    <xf borderId="5" fillId="20" fontId="9" numFmtId="164" xfId="0" applyAlignment="1" applyBorder="1" applyFill="1" applyFont="1" applyNumberFormat="1">
      <alignment shrinkToFit="0" vertical="bottom" wrapText="0"/>
    </xf>
    <xf borderId="2" fillId="9" fontId="27" numFmtId="0" xfId="0" applyAlignment="1" applyBorder="1" applyFill="1" applyFont="1">
      <alignment horizontal="center" shrinkToFit="0" vertical="center" wrapText="1"/>
    </xf>
    <xf borderId="2" fillId="21" fontId="2" numFmtId="0" xfId="0" applyAlignment="1" applyBorder="1" applyFill="1" applyFont="1">
      <alignment shrinkToFit="0" vertical="bottom" wrapText="0"/>
    </xf>
    <xf borderId="2" fillId="16" fontId="2" numFmtId="0" xfId="0" applyAlignment="1" applyBorder="1" applyFill="1" applyFont="1">
      <alignment shrinkToFit="0" vertical="bottom" wrapText="0"/>
    </xf>
    <xf borderId="2" fillId="22" fontId="2" numFmtId="0" xfId="0" applyAlignment="1" applyBorder="1" applyFill="1" applyFont="1">
      <alignment shrinkToFit="0" vertical="bottom" wrapText="0"/>
    </xf>
    <xf borderId="2" fillId="6" fontId="24" numFmtId="0" xfId="0" applyAlignment="1" applyBorder="1" applyFill="1" applyFont="1">
      <alignment horizontal="center" shrinkToFit="0" vertical="center" wrapText="1"/>
    </xf>
    <xf borderId="2" fillId="14" fontId="28" numFmtId="0" xfId="0" applyAlignment="1" applyBorder="1" applyFill="1" applyFont="1">
      <alignment horizontal="center" shrinkToFit="0" vertical="center" wrapText="1"/>
    </xf>
    <xf borderId="2" fillId="7" fontId="29" numFmtId="0" xfId="0" applyAlignment="1" applyBorder="1" applyFill="1" applyFont="1">
      <alignment horizontal="center" shrinkToFit="0" vertical="center" wrapText="1"/>
    </xf>
    <xf borderId="5" fillId="10" fontId="30" numFmtId="0" xfId="0" applyAlignment="1" applyBorder="1" applyFill="1" applyFont="1">
      <alignment horizontal="left" shrinkToFit="0" vertical="center" wrapText="1"/>
    </xf>
    <xf borderId="5" fillId="10" fontId="31" numFmtId="0" xfId="0" applyAlignment="1" applyBorder="1" applyFill="1" applyFont="1">
      <alignment horizontal="center" shrinkToFit="0" vertical="center" wrapText="1"/>
    </xf>
    <xf borderId="5" fillId="23" fontId="32" numFmtId="0" xfId="0" applyAlignment="1" applyBorder="1" applyFill="1" applyFont="1">
      <alignment horizontal="left" shrinkToFit="0" vertical="center" wrapText="1"/>
    </xf>
    <xf borderId="5" fillId="23" fontId="33" numFmtId="0" xfId="0" applyAlignment="1" applyBorder="1" applyFill="1" applyFont="1">
      <alignment horizontal="center" shrinkToFit="0" vertical="center" wrapText="1"/>
    </xf>
    <xf borderId="5" fillId="11" fontId="34" numFmtId="0" xfId="0" applyAlignment="1" applyBorder="1" applyFill="1" applyFont="1">
      <alignment horizontal="left" shrinkToFit="0" vertical="center" wrapText="1"/>
    </xf>
    <xf borderId="5" fillId="11" fontId="35" numFmtId="0" xfId="0" applyAlignment="1" applyBorder="1" applyFill="1" applyFont="1">
      <alignment horizontal="center" shrinkToFit="0" vertical="center" wrapText="1"/>
    </xf>
    <xf borderId="5" fillId="24" fontId="36" numFmtId="0" xfId="0" applyAlignment="1" applyBorder="1" applyFill="1" applyFont="1">
      <alignment horizontal="left" shrinkToFit="0" vertical="center" wrapText="1"/>
    </xf>
    <xf borderId="5" fillId="24" fontId="37" numFmtId="0" xfId="0" applyAlignment="1" applyBorder="1" applyFill="1" applyFont="1">
      <alignment horizontal="center" shrinkToFit="0" vertical="center" wrapText="1"/>
    </xf>
    <xf borderId="5" fillId="12" fontId="38" numFmtId="0" xfId="0" applyAlignment="1" applyBorder="1" applyFill="1" applyFont="1">
      <alignment horizontal="left" shrinkToFit="0" vertical="center" wrapText="1"/>
    </xf>
    <xf borderId="5" fillId="12" fontId="39" numFmtId="0" xfId="0" applyAlignment="1" applyBorder="1" applyFill="1" applyFont="1">
      <alignment horizontal="center" shrinkToFit="0" vertical="center" wrapText="1"/>
    </xf>
    <xf borderId="5" fillId="25" fontId="40" numFmtId="0" xfId="0" applyAlignment="1" applyBorder="1" applyFill="1" applyFont="1">
      <alignment horizontal="left" shrinkToFit="0" vertical="center" wrapText="1"/>
    </xf>
    <xf borderId="5" fillId="25" fontId="41" numFmtId="0" xfId="0" applyAlignment="1" applyBorder="1" applyFill="1" applyFont="1">
      <alignment horizontal="center" shrinkToFit="0" vertical="center" wrapText="1"/>
    </xf>
    <xf borderId="5" fillId="13" fontId="42" numFmtId="0" xfId="0" applyAlignment="1" applyBorder="1" applyFill="1" applyFont="1">
      <alignment horizontal="left" shrinkToFit="0" vertical="center" wrapText="1"/>
    </xf>
    <xf borderId="5" fillId="13" fontId="43" numFmtId="0" xfId="0" applyAlignment="1" applyBorder="1" applyFill="1" applyFont="1">
      <alignment horizontal="center" shrinkToFit="0" vertical="center" wrapText="1"/>
    </xf>
    <xf borderId="5" fillId="26" fontId="44" numFmtId="0" xfId="0" applyAlignment="1" applyBorder="1" applyFill="1" applyFont="1">
      <alignment horizontal="left" shrinkToFit="0" vertical="center" wrapText="1"/>
    </xf>
    <xf borderId="5" fillId="26" fontId="45" numFmtId="0" xfId="0" applyAlignment="1" applyBorder="1" applyFill="1" applyFont="1">
      <alignment horizontal="center" shrinkToFit="0" vertical="center" wrapText="1"/>
    </xf>
    <xf borderId="5" fillId="14" fontId="46" numFmtId="0" xfId="0" applyAlignment="1" applyBorder="1" applyFill="1" applyFont="1">
      <alignment horizontal="left" shrinkToFit="0" vertical="center" wrapText="1"/>
    </xf>
    <xf borderId="5" fillId="14" fontId="47" numFmtId="0" xfId="0" applyAlignment="1" applyBorder="1" applyFill="1" applyFont="1">
      <alignment horizontal="center" shrinkToFit="0" vertical="center" wrapText="1"/>
    </xf>
    <xf borderId="5" fillId="27" fontId="48" numFmtId="0" xfId="0" applyAlignment="1" applyBorder="1" applyFill="1" applyFont="1">
      <alignment horizontal="left" shrinkToFit="0" vertical="center" wrapText="1"/>
    </xf>
    <xf borderId="5" fillId="27" fontId="49" numFmtId="0" xfId="0" applyAlignment="1" applyBorder="1" applyFill="1" applyFont="1">
      <alignment horizontal="center" shrinkToFit="0" vertical="center" wrapText="1"/>
    </xf>
    <xf borderId="5" fillId="15" fontId="50" numFmtId="0" xfId="0" applyAlignment="1" applyBorder="1" applyFill="1" applyFont="1">
      <alignment horizontal="left" shrinkToFit="0" vertical="center" wrapText="1"/>
    </xf>
    <xf borderId="5" fillId="15" fontId="51" numFmtId="0" xfId="0" applyAlignment="1" applyBorder="1" applyFill="1" applyFont="1">
      <alignment horizontal="center" shrinkToFit="0" vertical="center" wrapText="1"/>
    </xf>
    <xf borderId="5" fillId="28" fontId="52" numFmtId="0" xfId="0" applyAlignment="1" applyBorder="1" applyFill="1" applyFont="1">
      <alignment horizontal="left" shrinkToFit="0" vertical="center" wrapText="1"/>
    </xf>
    <xf borderId="5" fillId="28" fontId="53" numFmtId="0" xfId="0" applyAlignment="1" applyBorder="1" applyFill="1" applyFont="1">
      <alignment horizontal="center" shrinkToFit="0" vertical="center" wrapText="1"/>
    </xf>
    <xf borderId="5" fillId="16" fontId="54" numFmtId="0" xfId="0" applyAlignment="1" applyBorder="1" applyFill="1" applyFont="1">
      <alignment horizontal="left" shrinkToFit="0" vertical="center" wrapText="1"/>
    </xf>
    <xf borderId="5" fillId="16" fontId="55" numFmtId="0" xfId="0" applyAlignment="1" applyBorder="1" applyFill="1" applyFont="1">
      <alignment horizontal="center" shrinkToFit="0" vertical="center" wrapText="1"/>
    </xf>
    <xf borderId="5" fillId="29" fontId="56" numFmtId="0" xfId="0" applyAlignment="1" applyBorder="1" applyFill="1" applyFont="1">
      <alignment horizontal="left" shrinkToFit="0" vertical="center" wrapText="1"/>
    </xf>
    <xf borderId="5" fillId="29" fontId="57" numFmtId="0" xfId="0" applyAlignment="1" applyBorder="1" applyFill="1" applyFont="1">
      <alignment horizontal="center" shrinkToFit="0" vertical="center" wrapText="1"/>
    </xf>
    <xf borderId="5" fillId="17" fontId="58" numFmtId="0" xfId="0" applyAlignment="1" applyBorder="1" applyFill="1" applyFont="1">
      <alignment horizontal="left" shrinkToFit="0" vertical="center" wrapText="1"/>
    </xf>
    <xf borderId="5" fillId="17" fontId="59" numFmtId="0" xfId="0" applyAlignment="1" applyBorder="1" applyFill="1" applyFont="1">
      <alignment horizontal="center" shrinkToFit="0" vertical="center" wrapText="1"/>
    </xf>
    <xf borderId="5" fillId="18" fontId="60" numFmtId="0" xfId="0" applyAlignment="1" applyBorder="1" applyFill="1" applyFont="1">
      <alignment horizontal="left" shrinkToFit="0" vertical="center" wrapText="1"/>
    </xf>
    <xf borderId="5" fillId="18" fontId="61" numFmtId="0" xfId="0" applyAlignment="1" applyBorder="1" applyFill="1" applyFont="1">
      <alignment horizontal="center" shrinkToFit="0" vertical="center" wrapText="1"/>
    </xf>
    <xf borderId="5" fillId="19" fontId="62" numFmtId="0" xfId="0" applyAlignment="1" applyBorder="1" applyFill="1" applyFont="1">
      <alignment horizontal="center" shrinkToFit="0" vertical="center" wrapText="1"/>
    </xf>
    <xf borderId="5" fillId="7" fontId="62" numFmtId="0" xfId="0" applyAlignment="1" applyBorder="1" applyFill="1" applyFont="1">
      <alignment horizontal="center" shrinkToFit="0" vertical="center" wrapText="1"/>
    </xf>
    <xf borderId="5" fillId="25" fontId="63" numFmtId="0" xfId="0" applyAlignment="1" applyBorder="1" applyFill="1" applyFont="1">
      <alignment horizontal="left" shrinkToFit="0" vertical="center" wrapText="1"/>
    </xf>
    <xf borderId="5" fillId="25" fontId="64" numFmtId="0" xfId="0" applyAlignment="1" applyBorder="1" applyFill="1" applyFont="1">
      <alignment horizontal="center" shrinkToFit="0" vertical="center" wrapText="1"/>
    </xf>
    <xf borderId="5" fillId="30" fontId="65" numFmtId="0" xfId="0" applyAlignment="1" applyBorder="1" applyFill="1" applyFont="1">
      <alignment horizontal="left" shrinkToFit="0" vertical="center" wrapText="1"/>
    </xf>
    <xf borderId="5" fillId="30" fontId="66" numFmtId="0" xfId="0" applyAlignment="1" applyBorder="1" applyFill="1" applyFont="1">
      <alignment horizontal="center" shrinkToFit="0" vertical="center" wrapText="1"/>
    </xf>
    <xf borderId="5" fillId="31" fontId="67" numFmtId="0" xfId="0" applyAlignment="1" applyBorder="1" applyFill="1" applyFont="1">
      <alignment horizontal="left" shrinkToFit="0" vertical="center" wrapText="1"/>
    </xf>
    <xf borderId="5" fillId="31" fontId="68" numFmtId="0" xfId="0" applyAlignment="1" applyBorder="1" applyFill="1" applyFont="1">
      <alignment horizontal="center" shrinkToFit="0" vertical="center" wrapText="1"/>
    </xf>
    <xf borderId="5" fillId="24" fontId="69" numFmtId="0" xfId="0" applyAlignment="1" applyBorder="1" applyFill="1" applyFont="1">
      <alignment horizontal="left" shrinkToFit="0" vertical="center" wrapText="1"/>
    </xf>
    <xf borderId="5" fillId="24" fontId="70" numFmtId="0" xfId="0" applyAlignment="1" applyBorder="1" applyFill="1" applyFont="1">
      <alignment horizontal="center" shrinkToFit="0" vertical="center" wrapText="1"/>
    </xf>
    <xf borderId="5" fillId="27" fontId="71" numFmtId="0" xfId="0" applyAlignment="1" applyBorder="1" applyFill="1" applyFont="1">
      <alignment horizontal="left" shrinkToFit="0" vertical="center" wrapText="1"/>
    </xf>
    <xf borderId="5" fillId="27" fontId="72" numFmtId="0" xfId="0" applyAlignment="1" applyBorder="1" applyFill="1" applyFont="1">
      <alignment horizontal="center" shrinkToFit="0" vertical="center" wrapText="1"/>
    </xf>
    <xf borderId="2" fillId="32" fontId="29" numFmtId="0" xfId="0" applyAlignment="1" applyBorder="1" applyFill="1" applyFont="1">
      <alignment horizontal="center" shrinkToFit="0" vertical="center" wrapText="1"/>
    </xf>
    <xf borderId="5" fillId="0" fontId="73" numFmtId="0" xfId="0" applyAlignment="1" applyBorder="1" applyFont="1">
      <alignment horizontal="left" readingOrder="0" shrinkToFit="0" vertical="center" wrapText="1"/>
    </xf>
    <xf borderId="5" fillId="0" fontId="73" numFmtId="0" xfId="0" applyAlignment="1" applyBorder="1" applyFont="1">
      <alignment horizontal="center" shrinkToFit="0" vertical="center" wrapText="1"/>
    </xf>
    <xf borderId="5" fillId="0" fontId="73" numFmtId="0" xfId="0" applyAlignment="1" applyBorder="1" applyFont="1">
      <alignment horizontal="center" readingOrder="0" shrinkToFit="0" vertical="center" wrapText="1"/>
    </xf>
    <xf borderId="5" fillId="0" fontId="73" numFmtId="0" xfId="0" applyAlignment="1" applyBorder="1" applyFont="1">
      <alignment horizontal="left" shrinkToFit="0" vertical="center" wrapText="1"/>
    </xf>
    <xf borderId="5" fillId="0" fontId="73" numFmtId="164" xfId="0" applyAlignment="1" applyBorder="1" applyFont="1" applyNumberFormat="1">
      <alignment horizontal="center" shrinkToFit="0" vertical="center" wrapText="1"/>
    </xf>
    <xf borderId="5" fillId="0" fontId="74" numFmtId="0" xfId="0" applyAlignment="1" applyBorder="1" applyFont="1">
      <alignment horizontal="left" readingOrder="0" shrinkToFit="0" vertical="center" wrapText="1"/>
    </xf>
    <xf borderId="5" fillId="0" fontId="75" numFmtId="0" xfId="0" applyAlignment="1" applyBorder="1" applyFont="1">
      <alignment horizontal="left" shrinkToFit="0" vertical="center" wrapText="1"/>
    </xf>
    <xf borderId="5" fillId="0" fontId="74" numFmtId="0" xfId="0" applyAlignment="1" applyBorder="1" applyFont="1">
      <alignment horizontal="center" shrinkToFit="0" vertical="center" wrapText="1"/>
    </xf>
    <xf borderId="5" fillId="0" fontId="74" numFmtId="0" xfId="0" applyAlignment="1" applyBorder="1" applyFont="1">
      <alignment horizontal="center" readingOrder="0" shrinkToFit="0" vertical="center" wrapText="1"/>
    </xf>
    <xf borderId="5" fillId="0" fontId="74" numFmtId="0" xfId="0" applyAlignment="1" applyBorder="1" applyFont="1">
      <alignment horizontal="left" shrinkToFit="0" vertical="center" wrapText="1"/>
    </xf>
    <xf borderId="5" fillId="0" fontId="74" numFmtId="164" xfId="0" applyAlignment="1" applyBorder="1" applyFont="1" applyNumberFormat="1">
      <alignment horizontal="center" shrinkToFit="0" vertical="center" wrapText="1"/>
    </xf>
    <xf borderId="5" fillId="0" fontId="76" numFmtId="0" xfId="0" applyAlignment="1" applyBorder="1" applyFont="1">
      <alignment horizontal="left" shrinkToFit="0" vertical="center" wrapText="1"/>
    </xf>
    <xf borderId="5" fillId="0" fontId="77" numFmtId="0" xfId="0" applyAlignment="1" applyBorder="1" applyFont="1">
      <alignment horizontal="left" readingOrder="0" shrinkToFit="0" vertical="center" wrapText="1"/>
    </xf>
    <xf borderId="5" fillId="0" fontId="77" numFmtId="0" xfId="0" applyAlignment="1" applyBorder="1" applyFont="1">
      <alignment horizontal="center" shrinkToFit="0" vertical="center" wrapText="1"/>
    </xf>
    <xf borderId="5" fillId="0" fontId="77" numFmtId="0" xfId="0" applyAlignment="1" applyBorder="1" applyFont="1">
      <alignment horizontal="center" readingOrder="0" shrinkToFit="0" vertical="center" wrapText="1"/>
    </xf>
    <xf borderId="5" fillId="0" fontId="77" numFmtId="0" xfId="0" applyAlignment="1" applyBorder="1" applyFont="1">
      <alignment horizontal="left" shrinkToFit="0" vertical="center" wrapText="1"/>
    </xf>
    <xf borderId="5" fillId="0" fontId="77" numFmtId="164" xfId="0" applyAlignment="1" applyBorder="1" applyFont="1" applyNumberFormat="1">
      <alignment horizontal="center" shrinkToFit="0" vertical="center" wrapText="1"/>
    </xf>
    <xf borderId="5" fillId="0" fontId="78" numFmtId="0" xfId="0" applyAlignment="1" applyBorder="1" applyFont="1">
      <alignment horizontal="left" shrinkToFit="0" vertical="center" wrapText="1"/>
    </xf>
    <xf borderId="5" fillId="0" fontId="79" numFmtId="0" xfId="0" applyAlignment="1" applyBorder="1" applyFont="1">
      <alignment horizontal="left" readingOrder="0" shrinkToFit="0" vertical="center" wrapText="1"/>
    </xf>
    <xf borderId="5" fillId="0" fontId="79" numFmtId="0" xfId="0" applyAlignment="1" applyBorder="1" applyFont="1">
      <alignment horizontal="center" shrinkToFit="0" vertical="center" wrapText="1"/>
    </xf>
    <xf borderId="5" fillId="0" fontId="79" numFmtId="0" xfId="0" applyAlignment="1" applyBorder="1" applyFont="1">
      <alignment horizontal="center" readingOrder="0" shrinkToFit="0" vertical="center" wrapText="1"/>
    </xf>
    <xf borderId="5" fillId="0" fontId="79" numFmtId="0" xfId="0" applyAlignment="1" applyBorder="1" applyFont="1">
      <alignment horizontal="left" shrinkToFit="0" vertical="center" wrapText="1"/>
    </xf>
    <xf borderId="5" fillId="0" fontId="79" numFmtId="164" xfId="0" applyAlignment="1" applyBorder="1" applyFont="1" applyNumberFormat="1">
      <alignment horizontal="center" shrinkToFit="0" vertical="center" wrapText="1"/>
    </xf>
    <xf borderId="5" fillId="0" fontId="80" numFmtId="0" xfId="0" applyAlignment="1" applyBorder="1" applyFont="1">
      <alignment horizontal="left" readingOrder="0" shrinkToFit="0" vertical="center" wrapText="1"/>
    </xf>
    <xf borderId="5" fillId="19" fontId="9" numFmtId="0" xfId="0" applyAlignment="1" applyBorder="1" applyFill="1" applyFont="1">
      <alignment readingOrder="0" shrinkToFit="0" vertical="center" wrapText="0"/>
    </xf>
    <xf borderId="5" fillId="19" fontId="9" numFmtId="0" xfId="0" applyAlignment="1" applyBorder="1" applyFill="1" applyFont="1">
      <alignment shrinkToFit="0" vertical="center" wrapText="0"/>
    </xf>
    <xf borderId="5" fillId="19" fontId="9" numFmtId="0" xfId="0" applyAlignment="1" applyBorder="1" applyFill="1" applyFont="1">
      <alignment horizontal="center" readingOrder="0" shrinkToFit="0" vertical="center" wrapText="0"/>
    </xf>
    <xf borderId="5" fillId="19" fontId="9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vertical="center"/>
    </xf>
    <xf borderId="5" fillId="20" fontId="9" numFmtId="0" xfId="0" applyAlignment="1" applyBorder="1" applyFill="1" applyFont="1">
      <alignment readingOrder="0" shrinkToFit="0" vertical="bottom" wrapText="0"/>
    </xf>
    <xf borderId="5" fillId="20" fontId="9" numFmtId="0" xfId="0" applyAlignment="1" applyBorder="1" applyFill="1" applyFont="1">
      <alignment horizontal="center" readingOrder="0" shrinkToFit="0" vertical="bottom" wrapText="0"/>
    </xf>
    <xf borderId="5" fillId="19" fontId="9" numFmtId="0" xfId="0" applyAlignment="1" applyBorder="1" applyFill="1" applyFont="1">
      <alignment readingOrder="0" shrinkToFit="0" vertical="bottom" wrapText="0"/>
    </xf>
    <xf borderId="0" fillId="33" fontId="1" numFmtId="0" xfId="0" applyFill="1" applyFont="1"/>
    <xf borderId="0" fillId="0" fontId="1" numFmtId="0" xfId="0" applyAlignment="1" applyFont="1">
      <alignment readingOrder="0"/>
    </xf>
    <xf borderId="6" fillId="32" fontId="29" numFmtId="0" xfId="0" applyAlignment="1" applyBorder="1" applyFill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5" fillId="20" fontId="9" numFmtId="164" xfId="0" applyAlignment="1" applyBorder="1" applyFill="1" applyFont="1" applyNumberFormat="1">
      <alignment readingOrder="0" shrinkToFit="0" vertical="bottom" wrapText="0"/>
    </xf>
    <xf borderId="6" fillId="20" fontId="9" numFmtId="0" xfId="0" applyAlignment="1" applyBorder="1" applyFill="1" applyFont="1">
      <alignment shrinkToFit="0" vertical="bottom" wrapText="0"/>
    </xf>
    <xf borderId="0" fillId="20" fontId="9" numFmtId="0" xfId="0" applyAlignment="1" applyFill="1" applyFont="1">
      <alignment readingOrder="0" shrinkToFit="0" vertical="bottom" wrapText="0"/>
    </xf>
    <xf borderId="9" fillId="20" fontId="9" numFmtId="0" xfId="0" applyAlignment="1" applyBorder="1" applyFill="1" applyFont="1">
      <alignment shrinkToFit="0" vertical="bottom" wrapText="0"/>
    </xf>
    <xf borderId="9" fillId="20" fontId="9" numFmtId="0" xfId="0" applyAlignment="1" applyBorder="1" applyFill="1" applyFont="1">
      <alignment readingOrder="0" shrinkToFit="0" vertical="bottom" wrapText="0"/>
    </xf>
    <xf borderId="9" fillId="20" fontId="9" numFmtId="164" xfId="0" applyAlignment="1" applyBorder="1" applyFill="1" applyFont="1" applyNumberFormat="1">
      <alignment shrinkToFit="0" vertical="bottom" wrapText="0"/>
    </xf>
    <xf borderId="10" fillId="20" fontId="9" numFmtId="0" xfId="0" applyAlignment="1" applyBorder="1" applyFill="1" applyFont="1">
      <alignment readingOrder="0" shrinkToFit="0" vertical="bottom" wrapText="0"/>
    </xf>
    <xf borderId="11" fillId="34" fontId="9" numFmtId="0" xfId="0" applyAlignment="1" applyBorder="1" applyFill="1" applyFont="1">
      <alignment readingOrder="0" shrinkToFit="0" vertical="bottom" wrapText="0"/>
    </xf>
    <xf borderId="12" fillId="0" fontId="5" numFmtId="0" xfId="0" applyBorder="1" applyFont="1"/>
    <xf borderId="13" fillId="0" fontId="5" numFmtId="0" xfId="0" applyBorder="1" applyFont="1"/>
    <xf borderId="14" fillId="20" fontId="9" numFmtId="0" xfId="0" applyAlignment="1" applyBorder="1" applyFill="1" applyFont="1">
      <alignment readingOrder="0" shrinkToFit="0" vertical="bottom" wrapText="0"/>
    </xf>
    <xf borderId="14" fillId="20" fontId="9" numFmtId="0" xfId="0" applyAlignment="1" applyBorder="1" applyFill="1" applyFont="1">
      <alignment shrinkToFit="0" vertical="bottom" wrapText="0"/>
    </xf>
    <xf borderId="14" fillId="20" fontId="9" numFmtId="164" xfId="0" applyAlignment="1" applyBorder="1" applyFill="1" applyFont="1" applyNumberFormat="1">
      <alignment readingOrder="0" shrinkToFit="0" vertical="bottom" wrapText="0"/>
    </xf>
    <xf borderId="14" fillId="19" fontId="9" numFmtId="0" xfId="0" applyAlignment="1" applyBorder="1" applyFill="1" applyFont="1">
      <alignment readingOrder="0" shrinkToFit="0" vertical="bottom" wrapText="0"/>
    </xf>
    <xf borderId="0" fillId="34" fontId="1" numFmtId="0" xfId="0" applyFill="1" applyFont="1"/>
    <xf borderId="5" fillId="35" fontId="9" numFmtId="0" xfId="0" applyAlignment="1" applyBorder="1" applyFill="1" applyFont="1">
      <alignment readingOrder="0" shrinkToFit="0" vertical="bottom" wrapText="0"/>
    </xf>
    <xf borderId="5" fillId="35" fontId="9" numFmtId="0" xfId="0" applyAlignment="1" applyBorder="1" applyFill="1" applyFont="1">
      <alignment shrinkToFit="0" vertical="bottom" wrapText="0"/>
    </xf>
    <xf borderId="5" fillId="35" fontId="9" numFmtId="164" xfId="0" applyAlignment="1" applyBorder="1" applyFill="1" applyFont="1" applyNumberFormat="1">
      <alignment readingOrder="0" shrinkToFit="0" vertical="bottom" wrapText="0"/>
    </xf>
    <xf borderId="0" fillId="19" fontId="1" numFmtId="0" xfId="0" applyFill="1" applyFont="1"/>
    <xf borderId="5" fillId="36" fontId="9" numFmtId="0" xfId="0" applyAlignment="1" applyBorder="1" applyFill="1" applyFont="1">
      <alignment readingOrder="0" shrinkToFit="0" vertical="bottom" wrapText="0"/>
    </xf>
    <xf borderId="5" fillId="36" fontId="9" numFmtId="0" xfId="0" applyAlignment="1" applyBorder="1" applyFill="1" applyFont="1">
      <alignment shrinkToFit="0" vertical="bottom" wrapText="0"/>
    </xf>
    <xf borderId="5" fillId="36" fontId="9" numFmtId="164" xfId="0" applyAlignment="1" applyBorder="1" applyFill="1" applyFont="1" applyNumberFormat="1">
      <alignment readingOrder="0" shrinkToFit="0" vertical="bottom" wrapText="0"/>
    </xf>
    <xf borderId="5" fillId="19" fontId="9" numFmtId="164" xfId="0" applyAlignment="1" applyBorder="1" applyFill="1" applyFont="1" applyNumberFormat="1">
      <alignment readingOrder="0" shrinkToFit="0" vertical="bottom" wrapText="0"/>
    </xf>
    <xf borderId="0" fillId="36" fontId="1" numFmtId="0" xfId="0" applyFill="1" applyFont="1"/>
    <xf borderId="9" fillId="19" fontId="9" numFmtId="0" xfId="0" applyAlignment="1" applyBorder="1" applyFill="1" applyFont="1">
      <alignment shrinkToFit="0" vertical="bottom" wrapText="0"/>
    </xf>
    <xf borderId="9" fillId="19" fontId="9" numFmtId="0" xfId="0" applyAlignment="1" applyBorder="1" applyFill="1" applyFont="1">
      <alignment readingOrder="0" shrinkToFit="0" vertical="bottom" wrapText="0"/>
    </xf>
    <xf borderId="9" fillId="19" fontId="9" numFmtId="164" xfId="0" applyAlignment="1" applyBorder="1" applyFill="1" applyFont="1" applyNumberFormat="1">
      <alignment shrinkToFit="0" vertical="bottom" wrapText="0"/>
    </xf>
    <xf borderId="10" fillId="15" fontId="81" numFmtId="0" xfId="0" applyAlignment="1" applyBorder="1" applyFill="1" applyFont="1">
      <alignment vertical="bottom"/>
    </xf>
    <xf borderId="10" fillId="15" fontId="82" numFmtId="0" xfId="0" applyAlignment="1" applyBorder="1" applyFill="1" applyFont="1">
      <alignment horizontal="right" vertical="bottom"/>
    </xf>
    <xf borderId="14" fillId="15" fontId="82" numFmtId="0" xfId="0" applyAlignment="1" applyBorder="1" applyFill="1" applyFont="1">
      <alignment vertical="bottom"/>
    </xf>
    <xf borderId="9" fillId="15" fontId="81" numFmtId="0" xfId="0" applyAlignment="1" applyBorder="1" applyFill="1" applyFont="1">
      <alignment vertical="bottom"/>
    </xf>
    <xf borderId="10" fillId="15" fontId="82" numFmtId="0" xfId="0" applyAlignment="1" applyBorder="1" applyFill="1" applyFont="1">
      <alignment vertical="bottom"/>
    </xf>
    <xf borderId="10" fillId="15" fontId="81" numFmtId="0" xfId="0" applyAlignment="1" applyBorder="1" applyFill="1" applyFont="1">
      <alignment vertical="bottom"/>
    </xf>
    <xf borderId="10" fillId="15" fontId="81" numFmtId="164" xfId="0" applyAlignment="1" applyBorder="1" applyFill="1" applyFont="1" applyNumberFormat="1">
      <alignment vertical="bottom"/>
    </xf>
    <xf borderId="14" fillId="0" fontId="81" numFmtId="0" xfId="0" applyAlignment="1" applyBorder="1" applyFont="1">
      <alignment vertical="bottom"/>
    </xf>
    <xf borderId="0" fillId="0" fontId="81" numFmtId="0" xfId="0" applyAlignment="1" applyFont="1">
      <alignment vertical="bottom"/>
    </xf>
    <xf borderId="10" fillId="15" fontId="82" numFmtId="0" xfId="0" applyAlignment="1" applyBorder="1" applyFill="1" applyFont="1">
      <alignment vertical="bottom"/>
    </xf>
    <xf borderId="14" fillId="15" fontId="82" numFmtId="164" xfId="0" applyAlignment="1" applyBorder="1" applyFill="1" applyFont="1" applyNumberFormat="1">
      <alignment horizontal="right" vertical="bottom"/>
    </xf>
    <xf borderId="10" fillId="15" fontId="81" numFmtId="0" xfId="0" applyAlignment="1" applyBorder="1" applyFill="1" applyFont="1">
      <alignment readingOrder="0" vertical="bottom"/>
    </xf>
    <xf borderId="0" fillId="15" fontId="82" numFmtId="0" xfId="0" applyAlignment="1" applyFill="1" applyFont="1">
      <alignment vertical="bottom"/>
    </xf>
    <xf borderId="0" fillId="15" fontId="82" numFmtId="0" xfId="0" applyAlignment="1" applyFill="1" applyFont="1">
      <alignment horizontal="right" vertical="bottom"/>
    </xf>
    <xf borderId="0" fillId="37" fontId="82" numFmtId="0" xfId="0" applyAlignment="1" applyFill="1" applyFont="1">
      <alignment vertical="bottom"/>
    </xf>
    <xf borderId="0" fillId="15" fontId="81" numFmtId="0" xfId="0" applyAlignment="1" applyFill="1" applyFont="1">
      <alignment vertical="bottom"/>
    </xf>
    <xf borderId="0" fillId="15" fontId="81" numFmtId="0" xfId="0" applyAlignment="1" applyFill="1" applyFont="1">
      <alignment vertical="bottom"/>
    </xf>
    <xf borderId="0" fillId="15" fontId="82" numFmtId="164" xfId="0" applyAlignment="1" applyFill="1" applyFont="1" applyNumberFormat="1">
      <alignment horizontal="right" vertical="bottom"/>
    </xf>
    <xf borderId="0" fillId="15" fontId="2" numFmtId="0" xfId="0" applyAlignment="1" applyFill="1" applyFont="1">
      <alignment vertical="bottom"/>
    </xf>
    <xf borderId="6" fillId="34" fontId="9" numFmtId="0" xfId="0" applyAlignment="1" applyBorder="1" applyFill="1" applyFont="1">
      <alignment readingOrder="0" shrinkToFit="0" vertical="bottom" wrapText="0"/>
    </xf>
    <xf borderId="5" fillId="35" fontId="9" numFmtId="164" xfId="0" applyAlignment="1" applyBorder="1" applyFill="1" applyFont="1" applyNumberFormat="1">
      <alignment shrinkToFit="0" vertical="bottom" wrapText="0"/>
    </xf>
    <xf borderId="0" fillId="36" fontId="81" numFmtId="0" xfId="0" applyAlignment="1" applyFill="1" applyFont="1">
      <alignment vertical="bottom"/>
    </xf>
    <xf borderId="0" fillId="36" fontId="81" numFmtId="0" xfId="0" applyAlignment="1" applyFill="1" applyFont="1">
      <alignment horizontal="right" vertical="bottom"/>
    </xf>
    <xf borderId="0" fillId="36" fontId="81" numFmtId="0" xfId="0" applyAlignment="1" applyFill="1" applyFont="1">
      <alignment vertical="bottom"/>
    </xf>
    <xf borderId="5" fillId="36" fontId="83" numFmtId="0" xfId="0" applyAlignment="1" applyBorder="1" applyFill="1" applyFont="1">
      <alignment vertical="bottom"/>
    </xf>
    <xf borderId="0" fillId="36" fontId="81" numFmtId="164" xfId="0" applyAlignment="1" applyFill="1" applyFont="1" applyNumberFormat="1">
      <alignment vertical="bottom"/>
    </xf>
    <xf borderId="5" fillId="36" fontId="81" numFmtId="0" xfId="0" applyAlignment="1" applyBorder="1" applyFill="1" applyFont="1">
      <alignment vertical="bottom"/>
    </xf>
    <xf borderId="0" fillId="38" fontId="81" numFmtId="0" xfId="0" applyAlignment="1" applyFill="1" applyFont="1">
      <alignment vertical="bottom"/>
    </xf>
    <xf borderId="0" fillId="38" fontId="81" numFmtId="0" xfId="0" applyAlignment="1" applyFill="1" applyFont="1">
      <alignment horizontal="right" vertical="bottom"/>
    </xf>
    <xf borderId="0" fillId="38" fontId="81" numFmtId="0" xfId="0" applyAlignment="1" applyFill="1" applyFont="1">
      <alignment vertical="bottom"/>
    </xf>
    <xf borderId="5" fillId="38" fontId="83" numFmtId="0" xfId="0" applyAlignment="1" applyBorder="1" applyFill="1" applyFont="1">
      <alignment vertical="bottom"/>
    </xf>
    <xf borderId="0" fillId="38" fontId="81" numFmtId="164" xfId="0" applyAlignment="1" applyFill="1" applyFont="1" applyNumberFormat="1">
      <alignment vertical="bottom"/>
    </xf>
    <xf borderId="15" fillId="36" fontId="81" numFmtId="0" xfId="0" applyAlignment="1" applyBorder="1" applyFill="1" applyFont="1">
      <alignment vertical="bottom"/>
    </xf>
    <xf borderId="0" fillId="36" fontId="84" numFmtId="0" xfId="0" applyAlignment="1" applyFill="1" applyFont="1">
      <alignment vertical="bottom"/>
    </xf>
    <xf borderId="0" fillId="15" fontId="2" numFmtId="0" xfId="0" applyAlignment="1" applyFill="1" applyFont="1">
      <alignment vertical="bottom"/>
    </xf>
    <xf borderId="0" fillId="15" fontId="83" numFmtId="0" xfId="0" applyAlignment="1" applyFill="1" applyFont="1">
      <alignment horizontal="right" vertical="bottom"/>
    </xf>
    <xf borderId="5" fillId="15" fontId="83" numFmtId="0" xfId="0" applyAlignment="1" applyBorder="1" applyFill="1" applyFont="1">
      <alignment vertical="bottom"/>
    </xf>
    <xf borderId="0" fillId="15" fontId="83" numFmtId="0" xfId="0" applyAlignment="1" applyFill="1" applyFont="1">
      <alignment vertical="bottom"/>
    </xf>
    <xf borderId="0" fillId="15" fontId="81" numFmtId="164" xfId="0" applyAlignment="1" applyFill="1" applyFont="1" applyNumberFormat="1">
      <alignment vertical="bottom"/>
    </xf>
    <xf borderId="0" fillId="15" fontId="81" numFmtId="0" xfId="0" applyAlignment="1" applyFill="1" applyFont="1">
      <alignment vertical="bottom"/>
    </xf>
    <xf borderId="0" fillId="15" fontId="2" numFmtId="164" xfId="0" applyAlignment="1" applyFill="1" applyFont="1" applyNumberFormat="1">
      <alignment horizontal="right" vertical="bottom"/>
    </xf>
    <xf borderId="5" fillId="35" fontId="9" numFmtId="0" xfId="0" applyAlignment="1" applyBorder="1" applyFill="1" applyFont="1">
      <alignment readingOrder="0" shrinkToFit="0" vertical="bottom" wrapText="0"/>
    </xf>
    <xf borderId="0" fillId="15" fontId="83" numFmtId="0" xfId="0" applyAlignment="1" applyFill="1" applyFont="1">
      <alignment horizontal="center" readingOrder="0" vertical="center"/>
    </xf>
    <xf borderId="5" fillId="15" fontId="81" numFmtId="0" xfId="0" applyAlignment="1" applyBorder="1" applyFill="1" applyFont="1">
      <alignment vertical="bottom"/>
    </xf>
    <xf borderId="5" fillId="15" fontId="83" numFmtId="0" xfId="0" applyAlignment="1" applyBorder="1" applyFill="1" applyFont="1">
      <alignment horizontal="center" vertical="bottom"/>
    </xf>
    <xf borderId="0" fillId="15" fontId="83" numFmtId="0" xfId="0" applyAlignment="1" applyFill="1" applyFont="1">
      <alignment horizontal="center" vertical="bottom"/>
    </xf>
    <xf borderId="0" fillId="19" fontId="81" numFmtId="0" xfId="0" applyAlignment="1" applyFill="1" applyFont="1">
      <alignment vertical="bottom"/>
    </xf>
    <xf borderId="0" fillId="36" fontId="82" numFmtId="0" xfId="0" applyAlignment="1" applyFill="1" applyFont="1">
      <alignment vertical="bottom"/>
    </xf>
    <xf borderId="0" fillId="36" fontId="82" numFmtId="0" xfId="0" applyAlignment="1" applyFill="1" applyFont="1">
      <alignment horizontal="right" vertical="bottom"/>
    </xf>
    <xf borderId="0" fillId="36" fontId="2" numFmtId="0" xfId="0" applyAlignment="1" applyFill="1" applyFont="1">
      <alignment vertical="bottom"/>
    </xf>
    <xf borderId="0" fillId="34" fontId="81" numFmtId="0" xfId="0" applyAlignment="1" applyFill="1" applyFont="1">
      <alignment vertical="bottom"/>
    </xf>
    <xf borderId="0" fillId="36" fontId="83" numFmtId="0" xfId="0" applyAlignment="1" applyFill="1" applyFont="1">
      <alignment horizontal="center" vertical="bottom"/>
    </xf>
    <xf borderId="0" fillId="36" fontId="83" numFmtId="0" xfId="0" applyAlignment="1" applyFill="1" applyFont="1">
      <alignment horizontal="center" vertical="bottom"/>
    </xf>
    <xf borderId="5" fillId="36" fontId="83" numFmtId="0" xfId="0" applyAlignment="1" applyBorder="1" applyFill="1" applyFont="1">
      <alignment horizontal="center" vertical="bottom"/>
    </xf>
    <xf borderId="0" fillId="36" fontId="2" numFmtId="0" xfId="0" applyAlignment="1" applyFill="1" applyFont="1">
      <alignment horizontal="center" vertical="bottom"/>
    </xf>
    <xf borderId="0" fillId="36" fontId="81" numFmtId="0" xfId="0" applyAlignment="1" applyFill="1" applyFont="1">
      <alignment horizontal="center" vertical="bottom"/>
    </xf>
    <xf borderId="0" fillId="15" fontId="2" numFmtId="0" xfId="0" applyAlignment="1" applyFill="1" applyFont="1">
      <alignment horizontal="center" vertical="bottom"/>
    </xf>
    <xf borderId="0" fillId="15" fontId="2" numFmtId="164" xfId="0" applyAlignment="1" applyFill="1" applyFont="1" applyNumberFormat="1">
      <alignment vertical="bottom"/>
    </xf>
    <xf borderId="0" fillId="15" fontId="81" numFmtId="0" xfId="0" applyAlignment="1" applyFill="1" applyFont="1">
      <alignment horizontal="center" vertical="bottom"/>
    </xf>
    <xf borderId="5" fillId="36" fontId="9" numFmtId="164" xfId="0" applyAlignment="1" applyBorder="1" applyFill="1" applyFont="1" applyNumberFormat="1">
      <alignment shrinkToFit="0" vertical="bottom" wrapText="0"/>
    </xf>
    <xf borderId="5" fillId="39" fontId="9" numFmtId="0" xfId="0" applyAlignment="1" applyBorder="1" applyFill="1" applyFont="1">
      <alignment readingOrder="0" shrinkToFit="0" vertical="bottom" wrapText="0"/>
    </xf>
    <xf borderId="5" fillId="15" fontId="82" numFmtId="0" xfId="0" applyAlignment="1" applyBorder="1" applyFill="1" applyFont="1">
      <alignment vertical="bottom"/>
    </xf>
    <xf borderId="5" fillId="0" fontId="81" numFmtId="0" xfId="0" applyAlignment="1" applyBorder="1" applyFont="1">
      <alignment vertical="bottom"/>
    </xf>
    <xf borderId="10" fillId="15" fontId="82" numFmtId="0" xfId="0" applyAlignment="1" applyBorder="1" applyFill="1" applyFont="1">
      <alignment horizontal="right" vertical="bottom"/>
    </xf>
    <xf borderId="10" fillId="15" fontId="82" numFmtId="0" xfId="0" applyAlignment="1" applyBorder="1" applyFill="1" applyFont="1">
      <alignment readingOrder="0" vertical="bottom"/>
    </xf>
    <xf borderId="10" fillId="15" fontId="2" numFmtId="0" xfId="0" applyAlignment="1" applyBorder="1" applyFill="1" applyFont="1">
      <alignment vertical="bottom"/>
    </xf>
    <xf borderId="10" fillId="15" fontId="82" numFmtId="164" xfId="0" applyAlignment="1" applyBorder="1" applyFill="1" applyFont="1" applyNumberFormat="1">
      <alignment horizontal="right" vertical="bottom"/>
    </xf>
    <xf borderId="0" fillId="36" fontId="81" numFmtId="0" xfId="0" applyAlignment="1" applyFill="1" applyFont="1">
      <alignment horizontal="right" vertical="bottom"/>
    </xf>
    <xf borderId="5" fillId="36" fontId="81" numFmtId="0" xfId="0" applyAlignment="1" applyBorder="1" applyFill="1" applyFont="1">
      <alignment vertical="bottom"/>
    </xf>
    <xf borderId="0" fillId="20" fontId="9" numFmtId="0" xfId="0" applyAlignment="1" applyFill="1" applyFont="1">
      <alignment shrinkToFit="0" vertical="bottom" wrapText="0"/>
    </xf>
    <xf borderId="0" fillId="20" fontId="9" numFmtId="164" xfId="0" applyAlignment="1" applyFill="1" applyFont="1" applyNumberFormat="1">
      <alignment shrinkToFit="0" vertical="bottom" wrapText="0"/>
    </xf>
    <xf borderId="0" fillId="15" fontId="82" numFmtId="0" xfId="0" applyAlignment="1" applyFill="1" applyFont="1">
      <alignment vertical="center"/>
    </xf>
    <xf borderId="0" fillId="15" fontId="2" numFmtId="0" xfId="0" applyAlignment="1" applyFill="1" applyFont="1">
      <alignment readingOrder="0" vertical="center"/>
    </xf>
    <xf borderId="5" fillId="15" fontId="82" numFmtId="0" xfId="0" applyAlignment="1" applyBorder="1" applyFill="1" applyFont="1">
      <alignment vertical="center"/>
    </xf>
    <xf borderId="0" fillId="15" fontId="2" numFmtId="0" xfId="0" applyAlignment="1" applyFill="1" applyFont="1">
      <alignment vertical="center"/>
    </xf>
    <xf borderId="0" fillId="15" fontId="2" numFmtId="164" xfId="0" applyAlignment="1" applyFill="1" applyFont="1" applyNumberFormat="1">
      <alignment vertical="center"/>
    </xf>
    <xf borderId="0" fillId="0" fontId="81" numFmtId="0" xfId="0" applyAlignment="1" applyFont="1">
      <alignment vertical="center"/>
    </xf>
    <xf borderId="0" fillId="19" fontId="2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5" fillId="15" fontId="82" numFmtId="0" xfId="0" applyAlignment="1" applyBorder="1" applyFill="1" applyFont="1">
      <alignment horizontal="right" vertical="center"/>
    </xf>
    <xf borderId="5" fillId="15" fontId="2" numFmtId="0" xfId="0" applyAlignment="1" applyBorder="1" applyFill="1" applyFont="1">
      <alignment vertical="center"/>
    </xf>
    <xf borderId="5" fillId="15" fontId="2" numFmtId="164" xfId="0" applyAlignment="1" applyBorder="1" applyFill="1" applyFont="1" applyNumberFormat="1">
      <alignment vertical="center"/>
    </xf>
    <xf borderId="5" fillId="0" fontId="81" numFmtId="0" xfId="0" applyAlignment="1" applyBorder="1" applyFont="1">
      <alignment readingOrder="0" vertical="center"/>
    </xf>
    <xf borderId="5" fillId="15" fontId="82" numFmtId="0" xfId="0" applyAlignment="1" applyBorder="1" applyFill="1" applyFont="1">
      <alignment readingOrder="0" vertical="center"/>
    </xf>
    <xf borderId="11" fillId="34" fontId="2" numFmtId="0" xfId="0" applyAlignment="1" applyBorder="1" applyFill="1" applyFont="1">
      <alignment vertical="bottom"/>
    </xf>
    <xf borderId="5" fillId="15" fontId="2" numFmtId="0" xfId="0" applyAlignment="1" applyBorder="1" applyFill="1" applyFont="1">
      <alignment vertical="bottom"/>
    </xf>
    <xf borderId="5" fillId="15" fontId="82" numFmtId="0" xfId="0" applyAlignment="1" applyBorder="1" applyFill="1" applyFont="1">
      <alignment horizontal="right" vertical="bottom"/>
    </xf>
    <xf borderId="5" fillId="15" fontId="82" numFmtId="0" xfId="0" applyAlignment="1" applyBorder="1" applyFill="1" applyFont="1">
      <alignment vertical="bottom"/>
    </xf>
    <xf borderId="5" fillId="15" fontId="82" numFmtId="164" xfId="0" applyAlignment="1" applyBorder="1" applyFill="1" applyFont="1" applyNumberFormat="1">
      <alignment horizontal="right" vertical="bottom"/>
    </xf>
    <xf borderId="5" fillId="0" fontId="8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20" fontId="9" numFmtId="0" xfId="0" applyAlignment="1" applyBorder="1" applyFill="1" applyFont="1">
      <alignment readingOrder="0" shrinkToFit="0" vertical="center" wrapText="0"/>
    </xf>
    <xf borderId="5" fillId="20" fontId="9" numFmtId="0" xfId="0" applyAlignment="1" applyBorder="1" applyFill="1" applyFont="1">
      <alignment shrinkToFit="0" vertical="center" wrapText="0"/>
    </xf>
    <xf borderId="5" fillId="20" fontId="9" numFmtId="164" xfId="0" applyAlignment="1" applyBorder="1" applyFill="1" applyFont="1" applyNumberFormat="1">
      <alignment shrinkToFit="0" vertical="center" wrapText="0"/>
    </xf>
    <xf borderId="5" fillId="20" fontId="9" numFmtId="0" xfId="0" applyAlignment="1" applyBorder="1" applyFill="1" applyFont="1">
      <alignment readingOrder="0" shrinkToFit="0" vertical="center" wrapText="1"/>
    </xf>
    <xf borderId="5" fillId="18" fontId="85" numFmtId="0" xfId="0" applyBorder="1" applyFill="1" applyFont="1"/>
    <xf borderId="5" fillId="18" fontId="2" numFmtId="0" xfId="0" applyBorder="1" applyFill="1" applyFont="1"/>
    <xf borderId="5" fillId="18" fontId="85" numFmtId="0" xfId="0" applyBorder="1" applyFill="1" applyFont="1"/>
    <xf borderId="5" fillId="18" fontId="85" numFmtId="164" xfId="0" applyAlignment="1" applyBorder="1" applyFill="1" applyFont="1" applyNumberFormat="1">
      <alignment horizontal="right"/>
    </xf>
    <xf borderId="5" fillId="0" fontId="81" numFmtId="0" xfId="0" applyBorder="1" applyFont="1"/>
    <xf borderId="0" fillId="0" fontId="2" numFmtId="0" xfId="0" applyFont="1"/>
    <xf borderId="5" fillId="15" fontId="2" numFmtId="0" xfId="0" applyAlignment="1" applyBorder="1" applyFill="1" applyFont="1">
      <alignment vertical="bottom"/>
    </xf>
    <xf borderId="0" fillId="19" fontId="2" numFmtId="0" xfId="0" applyAlignment="1" applyFill="1" applyFont="1">
      <alignment vertical="bottom"/>
    </xf>
    <xf borderId="5" fillId="36" fontId="86" numFmtId="0" xfId="0" applyAlignment="1" applyBorder="1" applyFill="1" applyFont="1">
      <alignment vertical="bottom"/>
    </xf>
    <xf borderId="5" fillId="36" fontId="86" numFmtId="0" xfId="0" applyAlignment="1" applyBorder="1" applyFill="1" applyFont="1">
      <alignment horizontal="right" vertical="bottom"/>
    </xf>
    <xf borderId="5" fillId="36" fontId="86" numFmtId="0" xfId="0" applyAlignment="1" applyBorder="1" applyFill="1" applyFont="1">
      <alignment vertical="bottom"/>
    </xf>
    <xf borderId="5" fillId="36" fontId="2" numFmtId="0" xfId="0" applyAlignment="1" applyBorder="1" applyFill="1" applyFont="1">
      <alignment vertical="bottom"/>
    </xf>
    <xf borderId="5" fillId="36" fontId="86" numFmtId="164" xfId="0" applyAlignment="1" applyBorder="1" applyFill="1" applyFont="1" applyNumberFormat="1">
      <alignment horizontal="right" vertical="bottom"/>
    </xf>
    <xf borderId="16" fillId="36" fontId="2" numFmtId="0" xfId="0" applyAlignment="1" applyBorder="1" applyFill="1" applyFont="1">
      <alignment readingOrder="0" vertical="bottom"/>
    </xf>
    <xf borderId="16" fillId="36" fontId="82" numFmtId="0" xfId="0" applyAlignment="1" applyBorder="1" applyFill="1" applyFont="1">
      <alignment horizontal="right" readingOrder="0" vertical="bottom"/>
    </xf>
    <xf borderId="16" fillId="36" fontId="82" numFmtId="0" xfId="0" applyAlignment="1" applyBorder="1" applyFill="1" applyFont="1">
      <alignment readingOrder="0" vertical="bottom"/>
    </xf>
    <xf borderId="16" fillId="36" fontId="2" numFmtId="0" xfId="0" applyAlignment="1" applyBorder="1" applyFill="1" applyFont="1">
      <alignment vertical="bottom"/>
    </xf>
    <xf borderId="16" fillId="36" fontId="82" numFmtId="164" xfId="0" applyAlignment="1" applyBorder="1" applyFill="1" applyFont="1" applyNumberFormat="1">
      <alignment horizontal="right" readingOrder="0" vertical="bottom"/>
    </xf>
    <xf borderId="16" fillId="36" fontId="81" numFmtId="0" xfId="0" applyAlignment="1" applyBorder="1" applyFill="1" applyFont="1">
      <alignment readingOrder="0" vertical="bottom"/>
    </xf>
    <xf borderId="0" fillId="19" fontId="1" numFmtId="0" xfId="0" applyAlignment="1" applyFill="1" applyFont="1">
      <alignment vertical="center"/>
    </xf>
    <xf borderId="9" fillId="15" fontId="82" numFmtId="0" xfId="0" applyAlignment="1" applyBorder="1" applyFill="1" applyFont="1">
      <alignment vertical="bottom"/>
    </xf>
    <xf borderId="10" fillId="15" fontId="2" numFmtId="0" xfId="0" applyAlignment="1" applyBorder="1" applyFill="1" applyFont="1">
      <alignment vertical="bottom"/>
    </xf>
    <xf borderId="5" fillId="36" fontId="9" numFmtId="0" xfId="0" applyAlignment="1" applyBorder="1" applyFill="1" applyFont="1">
      <alignment horizontal="left" readingOrder="0" shrinkToFit="0" vertical="bottom" wrapText="0"/>
    </xf>
    <xf borderId="16" fillId="36" fontId="82" numFmtId="0" xfId="0" applyAlignment="1" applyBorder="1" applyFill="1" applyFont="1">
      <alignment readingOrder="0" vertical="center"/>
    </xf>
    <xf borderId="16" fillId="36" fontId="82" numFmtId="0" xfId="0" applyAlignment="1" applyBorder="1" applyFill="1" applyFont="1">
      <alignment horizontal="right" vertical="center"/>
    </xf>
    <xf borderId="16" fillId="36" fontId="2" numFmtId="0" xfId="0" applyAlignment="1" applyBorder="1" applyFill="1" applyFont="1">
      <alignment readingOrder="0" vertical="center"/>
    </xf>
    <xf borderId="16" fillId="36" fontId="82" numFmtId="0" xfId="0" applyAlignment="1" applyBorder="1" applyFill="1" applyFont="1">
      <alignment readingOrder="0" shrinkToFit="0" vertical="center" wrapText="1"/>
    </xf>
    <xf borderId="16" fillId="36" fontId="2" numFmtId="0" xfId="0" applyAlignment="1" applyBorder="1" applyFill="1" applyFont="1">
      <alignment vertical="center"/>
    </xf>
    <xf borderId="16" fillId="36" fontId="82" numFmtId="164" xfId="0" applyAlignment="1" applyBorder="1" applyFill="1" applyFont="1" applyNumberFormat="1">
      <alignment horizontal="right" vertical="center"/>
    </xf>
    <xf borderId="16" fillId="36" fontId="81" numFmtId="0" xfId="0" applyAlignment="1" applyBorder="1" applyFill="1" applyFont="1">
      <alignment readingOrder="0" vertical="center"/>
    </xf>
    <xf borderId="5" fillId="19" fontId="9" numFmtId="0" xfId="0" applyAlignment="1" applyBorder="1" applyFill="1" applyFont="1">
      <alignment readingOrder="0" shrinkToFit="0" vertical="bottom" wrapText="1"/>
    </xf>
    <xf borderId="16" fillId="15" fontId="82" numFmtId="0" xfId="0" applyAlignment="1" applyBorder="1" applyFill="1" applyFont="1">
      <alignment readingOrder="0" vertical="bottom"/>
    </xf>
    <xf borderId="16" fillId="15" fontId="82" numFmtId="0" xfId="0" applyAlignment="1" applyBorder="1" applyFill="1" applyFont="1">
      <alignment horizontal="right" readingOrder="0" vertical="bottom"/>
    </xf>
    <xf borderId="16" fillId="15" fontId="2" numFmtId="0" xfId="0" applyAlignment="1" applyBorder="1" applyFill="1" applyFont="1">
      <alignment readingOrder="0" vertical="bottom"/>
    </xf>
    <xf borderId="16" fillId="15" fontId="82" numFmtId="0" xfId="0" applyAlignment="1" applyBorder="1" applyFill="1" applyFont="1">
      <alignment vertical="bottom"/>
    </xf>
    <xf borderId="16" fillId="15" fontId="2" numFmtId="0" xfId="0" applyAlignment="1" applyBorder="1" applyFill="1" applyFont="1">
      <alignment vertical="bottom"/>
    </xf>
    <xf borderId="16" fillId="15" fontId="82" numFmtId="164" xfId="0" applyAlignment="1" applyBorder="1" applyFill="1" applyFont="1" applyNumberFormat="1">
      <alignment horizontal="right" readingOrder="0" vertical="bottom"/>
    </xf>
    <xf borderId="16" fillId="0" fontId="81" numFmtId="0" xfId="0" applyAlignment="1" applyBorder="1" applyFont="1">
      <alignment readingOrder="0" vertical="bottom"/>
    </xf>
    <xf borderId="11" fillId="19" fontId="2" numFmtId="0" xfId="0" applyAlignment="1" applyBorder="1" applyFill="1" applyFont="1">
      <alignment vertical="bottom"/>
    </xf>
    <xf borderId="0" fillId="15" fontId="82" numFmtId="0" xfId="0" applyAlignment="1" applyFill="1" applyFont="1">
      <alignment vertical="bottom"/>
    </xf>
    <xf borderId="0" fillId="15" fontId="82" numFmtId="0" xfId="0" applyAlignment="1" applyFill="1" applyFont="1">
      <alignment horizontal="right" vertical="bottom"/>
    </xf>
    <xf borderId="11" fillId="34" fontId="2" numFmtId="0" xfId="0" applyAlignment="1" applyBorder="1" applyFill="1" applyFont="1">
      <alignment vertical="bottom"/>
    </xf>
    <xf borderId="0" fillId="15" fontId="82" numFmtId="0" xfId="0" applyAlignment="1" applyFill="1" applyFont="1">
      <alignment readingOrder="0" shrinkToFit="0" vertical="center" wrapText="1"/>
    </xf>
    <xf borderId="0" fillId="15" fontId="82" numFmtId="0" xfId="0" applyAlignment="1" applyFill="1" applyFont="1">
      <alignment shrinkToFit="0" vertical="bottom" wrapText="1"/>
    </xf>
    <xf borderId="5" fillId="15" fontId="2" numFmtId="164" xfId="0" applyAlignment="1" applyBorder="1" applyFill="1" applyFont="1" applyNumberFormat="1">
      <alignment vertical="bottom"/>
    </xf>
    <xf borderId="5" fillId="15" fontId="82" numFmtId="0" xfId="0" applyBorder="1" applyFill="1" applyFont="1"/>
    <xf borderId="5" fillId="15" fontId="82" numFmtId="0" xfId="0" applyAlignment="1" applyBorder="1" applyFill="1" applyFont="1">
      <alignment horizontal="right"/>
    </xf>
    <xf borderId="5" fillId="15" fontId="2" numFmtId="0" xfId="0" applyBorder="1" applyFill="1" applyFont="1"/>
    <xf borderId="5" fillId="15" fontId="2" numFmtId="164" xfId="0" applyBorder="1" applyFill="1" applyFont="1" applyNumberFormat="1"/>
    <xf borderId="5" fillId="0" fontId="81" numFmtId="0" xfId="0" applyBorder="1" applyFont="1"/>
    <xf borderId="0" fillId="19" fontId="2" numFmtId="0" xfId="0" applyFill="1" applyFont="1"/>
    <xf borderId="1" fillId="0" fontId="1" numFmtId="0" xfId="0" applyBorder="1" applyFont="1"/>
  </cellXfs>
  <cellStyles count="1">
    <cellStyle xfId="0" name="Normal" builtinId="0"/>
  </cellStyles>
  <dxfs count="9">
    <dxf>
      <font>
        <sz val="10.0"/>
        <color rgb="FF1D4ED8"/>
        <name val="Arial"/>
      </font>
      <fill>
        <patternFill patternType="solid">
          <fgColor rgb="FFDBEAFE"/>
          <bgColor rgb="FFDBEAFE"/>
        </patternFill>
      </fill>
      <border/>
    </dxf>
    <dxf>
      <font>
        <sz val="10.0"/>
        <color rgb="FF92400E"/>
        <name val="Arial"/>
      </font>
      <fill>
        <patternFill patternType="solid">
          <fgColor rgb="FFFEF9C3"/>
          <bgColor rgb="FFFEF9C3"/>
        </patternFill>
      </fill>
      <border/>
    </dxf>
    <dxf>
      <font>
        <sz val="10.0"/>
        <color rgb="FFB91C1C"/>
        <name val="Arial"/>
      </font>
      <fill>
        <patternFill patternType="solid">
          <fgColor rgb="FFFEE2E2"/>
          <bgColor rgb="FFFEE2E2"/>
        </patternFill>
      </fill>
      <border/>
    </dxf>
    <dxf>
      <font>
        <sz val="10.0"/>
        <color rgb="FF78350F"/>
        <name val="Arial"/>
      </font>
      <fill>
        <patternFill patternType="solid">
          <fgColor rgb="FFFDE68A"/>
          <bgColor rgb="FFFDE68A"/>
        </patternFill>
      </fill>
      <border/>
    </dxf>
    <dxf>
      <font>
        <sz val="10.0"/>
        <color rgb="FF065F46"/>
        <name val="Arial"/>
      </font>
      <fill>
        <patternFill patternType="solid">
          <fgColor rgb="FFD1FAE5"/>
          <bgColor rgb="FFD1FAE5"/>
        </patternFill>
      </fill>
      <border/>
    </dxf>
    <dxf>
      <font>
        <sz val="10.0"/>
        <color rgb="FF047857"/>
        <name val="Arial"/>
      </font>
      <fill>
        <patternFill patternType="solid">
          <fgColor rgb="FFA7F3D0"/>
          <bgColor rgb="FFA7F3D0"/>
        </patternFill>
      </fill>
      <border/>
    </dxf>
    <dxf>
      <font>
        <sz val="10.0"/>
        <color rgb="FF064E3B"/>
        <name val="Arial"/>
      </font>
      <fill>
        <patternFill patternType="solid">
          <fgColor rgb="FF6EE7B7"/>
          <bgColor rgb="FF6EE7B7"/>
        </patternFill>
      </fill>
      <border/>
    </dxf>
    <dxf>
      <font>
        <sz val="10.0"/>
        <color rgb="FF6B7280"/>
        <name val="Arial"/>
      </font>
      <fill>
        <patternFill patternType="solid">
          <fgColor rgb="FFF3F4F6"/>
          <bgColor rgb="FFF3F4F6"/>
        </patternFill>
      </fill>
      <border/>
    </dxf>
    <dxf>
      <font>
        <sz val="10.0"/>
        <color rgb="FF9CA3AF"/>
        <name val="Arial"/>
      </font>
      <fill>
        <patternFill patternType="solid">
          <fgColor rgb="FFE5E7EB"/>
          <bgColor rgb="FFE5E7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60.0"/>
    <col customWidth="1" min="4" max="4" width="3.0"/>
    <col customWidth="1" min="5" max="26" width="8.71"/>
  </cols>
  <sheetData>
    <row r="1" ht="21.75" customHeight="1">
      <c r="A1" s="2"/>
      <c r="B1" s="2"/>
      <c r="C1" s="2"/>
      <c r="D1" s="2"/>
      <c r="E1" s="2"/>
    </row>
    <row r="2" ht="54.75" customHeight="1">
      <c r="A2" s="2"/>
      <c r="B2" s="4" t="s">
        <v>18</v>
      </c>
      <c r="C2" s="6"/>
      <c r="D2" s="2"/>
      <c r="E2" s="2"/>
    </row>
    <row r="3" ht="30.0" customHeight="1">
      <c r="A3" s="2"/>
      <c r="B3" s="7" t="s">
        <v>49</v>
      </c>
      <c r="C3" s="6"/>
      <c r="D3" s="2"/>
      <c r="E3" s="2"/>
    </row>
    <row r="4" ht="3.75" customHeight="1">
      <c r="A4" s="2"/>
      <c r="B4" s="9"/>
      <c r="C4" s="6"/>
      <c r="D4" s="2"/>
      <c r="E4" s="2"/>
    </row>
    <row r="5" ht="21.75" customHeight="1">
      <c r="A5" s="2"/>
      <c r="B5" s="2"/>
      <c r="C5" s="2"/>
      <c r="D5" s="2"/>
      <c r="E5" s="2"/>
    </row>
    <row r="6" ht="25.5" customHeight="1">
      <c r="A6" s="2"/>
      <c r="B6" s="10" t="s">
        <v>74</v>
      </c>
      <c r="C6" s="6"/>
      <c r="D6" s="2"/>
      <c r="E6" s="2"/>
    </row>
    <row r="7" ht="21.75" customHeight="1">
      <c r="A7" s="2"/>
      <c r="B7" s="11" t="s">
        <v>83</v>
      </c>
      <c r="C7" s="6"/>
      <c r="D7" s="2"/>
      <c r="E7" s="2"/>
    </row>
    <row r="8" ht="21.75" customHeight="1">
      <c r="A8" s="2"/>
      <c r="B8" s="11" t="s">
        <v>92</v>
      </c>
      <c r="C8" s="6"/>
      <c r="D8" s="2"/>
      <c r="E8" s="2"/>
    </row>
    <row r="9" ht="21.75" customHeight="1">
      <c r="A9" s="2"/>
      <c r="B9" s="11" t="s">
        <v>98</v>
      </c>
      <c r="C9" s="6"/>
      <c r="D9" s="2"/>
      <c r="E9" s="2"/>
    </row>
    <row r="10" ht="21.75" customHeight="1">
      <c r="A10" s="2"/>
      <c r="B10" s="11" t="s">
        <v>102</v>
      </c>
      <c r="C10" s="6"/>
      <c r="D10" s="2"/>
      <c r="E10" s="2"/>
    </row>
    <row r="11" ht="21.75" customHeight="1">
      <c r="A11" s="2"/>
      <c r="B11" s="2"/>
      <c r="C11" s="2"/>
      <c r="D11" s="2"/>
      <c r="E11" s="2"/>
    </row>
    <row r="12" ht="25.5" customHeight="1">
      <c r="A12" s="2"/>
      <c r="B12" s="10" t="s">
        <v>109</v>
      </c>
      <c r="C12" s="6"/>
      <c r="D12" s="2"/>
      <c r="E12" s="2"/>
    </row>
    <row r="13" ht="21.75" customHeight="1">
      <c r="A13" s="2"/>
      <c r="B13" s="11" t="s">
        <v>111</v>
      </c>
      <c r="C13" s="6"/>
      <c r="D13" s="2"/>
      <c r="E13" s="2"/>
    </row>
    <row r="14" ht="21.75" customHeight="1">
      <c r="A14" s="2"/>
      <c r="B14" s="11" t="s">
        <v>112</v>
      </c>
      <c r="C14" s="6"/>
      <c r="D14" s="2"/>
      <c r="E14" s="2"/>
    </row>
    <row r="15" ht="21.75" customHeight="1">
      <c r="A15" s="2"/>
      <c r="B15" s="11" t="s">
        <v>113</v>
      </c>
      <c r="C15" s="6"/>
      <c r="D15" s="2"/>
      <c r="E15" s="2"/>
    </row>
    <row r="16" ht="21.75" customHeight="1">
      <c r="A16" s="2"/>
      <c r="B16" s="11" t="s">
        <v>115</v>
      </c>
      <c r="C16" s="6"/>
      <c r="D16" s="2"/>
      <c r="E16" s="2"/>
    </row>
    <row r="17" ht="21.75" customHeight="1">
      <c r="A17" s="2"/>
      <c r="B17" s="11" t="s">
        <v>116</v>
      </c>
      <c r="C17" s="6"/>
      <c r="D17" s="2"/>
      <c r="E17" s="2"/>
    </row>
    <row r="18" ht="21.75" customHeight="1">
      <c r="A18" s="2"/>
      <c r="B18" s="11" t="s">
        <v>117</v>
      </c>
      <c r="C18" s="6"/>
      <c r="D18" s="2"/>
      <c r="E18" s="2"/>
    </row>
    <row r="19" ht="21.75" customHeight="1">
      <c r="A19" s="2"/>
      <c r="B19" s="2"/>
      <c r="C19" s="2"/>
      <c r="D19" s="2"/>
      <c r="E19" s="2"/>
    </row>
    <row r="20" ht="25.5" customHeight="1">
      <c r="A20" s="2"/>
      <c r="B20" s="10" t="s">
        <v>118</v>
      </c>
      <c r="C20" s="6"/>
      <c r="D20" s="2"/>
      <c r="E20" s="2"/>
    </row>
    <row r="21" ht="21.75" customHeight="1">
      <c r="A21" s="2"/>
      <c r="B21" s="11" t="s">
        <v>119</v>
      </c>
      <c r="C21" s="6"/>
      <c r="D21" s="2"/>
      <c r="E21" s="2"/>
    </row>
    <row r="22" ht="21.75" customHeight="1">
      <c r="A22" s="2"/>
      <c r="B22" s="11" t="s">
        <v>120</v>
      </c>
      <c r="C22" s="6"/>
      <c r="D22" s="2"/>
      <c r="E22" s="2"/>
    </row>
    <row r="23" ht="21.75" customHeight="1">
      <c r="A23" s="2"/>
      <c r="B23" s="19" t="s">
        <v>121</v>
      </c>
      <c r="C23" s="6"/>
      <c r="D23" s="2"/>
      <c r="E23" s="2"/>
    </row>
    <row r="24" ht="21.75" customHeight="1">
      <c r="A24" s="2"/>
      <c r="B24" s="11" t="s">
        <v>122</v>
      </c>
      <c r="C24" s="6"/>
      <c r="D24" s="2"/>
      <c r="E24" s="2"/>
    </row>
    <row r="25" ht="21.75" customHeight="1">
      <c r="A25" s="2"/>
      <c r="B25" s="11" t="s">
        <v>123</v>
      </c>
      <c r="C25" s="6"/>
      <c r="D25" s="2"/>
      <c r="E25" s="2"/>
    </row>
    <row r="26" ht="21.75" customHeight="1">
      <c r="A26" s="2"/>
      <c r="B26" s="11" t="s">
        <v>124</v>
      </c>
      <c r="C26" s="6"/>
      <c r="D26" s="2"/>
      <c r="E26" s="2"/>
    </row>
    <row r="27" ht="21.75" customHeight="1">
      <c r="A27" s="2"/>
      <c r="B27" s="11" t="s">
        <v>125</v>
      </c>
      <c r="C27" s="6"/>
      <c r="D27" s="2"/>
      <c r="E27" s="2"/>
    </row>
    <row r="28" ht="21.75" customHeight="1">
      <c r="A28" s="2"/>
      <c r="B28" s="11" t="s">
        <v>126</v>
      </c>
      <c r="C28" s="6"/>
      <c r="D28" s="2"/>
      <c r="E28" s="2"/>
    </row>
    <row r="29" ht="21.75" customHeight="1">
      <c r="A29" s="2"/>
      <c r="B29" s="2"/>
      <c r="C29" s="2"/>
      <c r="D29" s="2"/>
      <c r="E29" s="2"/>
    </row>
    <row r="30" ht="25.5" customHeight="1">
      <c r="A30" s="2"/>
      <c r="B30" s="10" t="s">
        <v>136</v>
      </c>
      <c r="C30" s="6"/>
      <c r="D30" s="2"/>
      <c r="E30" s="2"/>
    </row>
    <row r="31" ht="21.75" customHeight="1">
      <c r="A31" s="2"/>
      <c r="B31" s="11" t="s">
        <v>141</v>
      </c>
      <c r="C31" s="6"/>
      <c r="D31" s="2"/>
      <c r="E31" s="2"/>
    </row>
    <row r="32" ht="21.75" customHeight="1">
      <c r="A32" s="2"/>
      <c r="B32" s="11" t="s">
        <v>142</v>
      </c>
      <c r="C32" s="6"/>
      <c r="D32" s="2"/>
      <c r="E32" s="2"/>
    </row>
    <row r="33" ht="21.75" customHeight="1">
      <c r="A33" s="2"/>
      <c r="B33" s="11" t="s">
        <v>143</v>
      </c>
      <c r="C33" s="6"/>
      <c r="D33" s="2"/>
      <c r="E33" s="2"/>
    </row>
    <row r="34" ht="21.75" customHeight="1">
      <c r="A34" s="2"/>
      <c r="B34" s="11" t="s">
        <v>144</v>
      </c>
      <c r="C34" s="6"/>
      <c r="D34" s="2"/>
      <c r="E34" s="2"/>
    </row>
    <row r="35" ht="21.75" customHeight="1">
      <c r="A35" s="2"/>
      <c r="B35" s="11" t="s">
        <v>145</v>
      </c>
      <c r="C35" s="6"/>
      <c r="D35" s="2"/>
      <c r="E35" s="2"/>
    </row>
    <row r="36" ht="21.75" customHeight="1">
      <c r="A36" s="2"/>
      <c r="B36" s="2"/>
      <c r="C36" s="2"/>
      <c r="D36" s="2"/>
      <c r="E36" s="2"/>
    </row>
    <row r="37" ht="21.75" customHeight="1">
      <c r="A37" s="2"/>
      <c r="B37" s="29" t="s">
        <v>146</v>
      </c>
      <c r="C37" s="6"/>
      <c r="D37" s="2"/>
      <c r="E37" s="2"/>
    </row>
    <row r="38" ht="21.75" customHeight="1">
      <c r="A38" s="2"/>
      <c r="B38" s="2"/>
      <c r="C38" s="2"/>
      <c r="D38" s="2"/>
      <c r="E38" s="2"/>
    </row>
    <row r="39" ht="21.75" customHeight="1">
      <c r="A39" s="2"/>
      <c r="B39" s="2"/>
      <c r="C39" s="2"/>
      <c r="D39" s="2"/>
      <c r="E39" s="2"/>
    </row>
    <row r="40" ht="21.75" customHeight="1">
      <c r="A40" s="2"/>
      <c r="B40" s="2"/>
      <c r="C40" s="2"/>
      <c r="D40" s="2"/>
      <c r="E40" s="2"/>
    </row>
    <row r="41" ht="21.75" customHeight="1">
      <c r="A41" s="2"/>
      <c r="B41" s="2"/>
      <c r="C41" s="2"/>
      <c r="D41" s="2"/>
      <c r="E41" s="2"/>
    </row>
    <row r="42" ht="21.75" customHeight="1">
      <c r="A42" s="2"/>
      <c r="B42" s="2"/>
      <c r="C42" s="2"/>
      <c r="D42" s="2"/>
      <c r="E42" s="2"/>
    </row>
    <row r="43" ht="21.75" customHeight="1">
      <c r="A43" s="2"/>
      <c r="B43" s="2"/>
      <c r="C43" s="2"/>
      <c r="D43" s="2"/>
      <c r="E43" s="2"/>
    </row>
    <row r="44" ht="21.75" customHeight="1">
      <c r="A44" s="2"/>
      <c r="B44" s="2"/>
      <c r="C44" s="2"/>
      <c r="D44" s="2"/>
      <c r="E44" s="2"/>
    </row>
    <row r="45" ht="21.75" customHeight="1">
      <c r="A45" s="2"/>
      <c r="B45" s="2"/>
      <c r="C45" s="2"/>
      <c r="D45" s="2"/>
      <c r="E45" s="2"/>
    </row>
    <row r="46" ht="21.75" customHeight="1">
      <c r="A46" s="2"/>
      <c r="B46" s="2"/>
      <c r="C46" s="2"/>
      <c r="D46" s="2"/>
      <c r="E46" s="2"/>
    </row>
    <row r="47" ht="21.75" customHeight="1">
      <c r="A47" s="2"/>
      <c r="B47" s="2"/>
      <c r="C47" s="2"/>
      <c r="D47" s="2"/>
      <c r="E47" s="2"/>
    </row>
    <row r="48" ht="21.75" customHeight="1">
      <c r="A48" s="2"/>
      <c r="B48" s="2"/>
      <c r="C48" s="2"/>
      <c r="D48" s="2"/>
      <c r="E48" s="2"/>
    </row>
    <row r="49" ht="21.75" customHeight="1">
      <c r="A49" s="2"/>
      <c r="B49" s="2"/>
      <c r="C49" s="2"/>
      <c r="D49" s="2"/>
      <c r="E49" s="2"/>
    </row>
    <row r="50" ht="21.75" customHeight="1">
      <c r="A50" s="2"/>
      <c r="B50" s="2"/>
      <c r="C50" s="2"/>
      <c r="D50" s="2"/>
      <c r="E50" s="2"/>
    </row>
    <row r="51" ht="21.75" customHeight="1">
      <c r="A51" s="2"/>
      <c r="B51" s="2"/>
      <c r="C51" s="2"/>
      <c r="D51" s="2"/>
      <c r="E51" s="2"/>
    </row>
    <row r="52" ht="21.75" customHeight="1">
      <c r="A52" s="2"/>
      <c r="B52" s="2"/>
      <c r="C52" s="2"/>
      <c r="D52" s="2"/>
      <c r="E52" s="2"/>
    </row>
    <row r="53" ht="21.75" customHeight="1">
      <c r="A53" s="2"/>
      <c r="B53" s="2"/>
      <c r="C53" s="2"/>
      <c r="D53" s="2"/>
      <c r="E53" s="2"/>
    </row>
    <row r="54" ht="21.75" customHeight="1">
      <c r="A54" s="2"/>
      <c r="B54" s="2"/>
      <c r="C54" s="2"/>
      <c r="D54" s="2"/>
      <c r="E54" s="2"/>
    </row>
    <row r="55" ht="21.75" customHeight="1">
      <c r="A55" s="2"/>
      <c r="B55" s="2"/>
      <c r="C55" s="2"/>
      <c r="D55" s="2"/>
      <c r="E55" s="2"/>
    </row>
    <row r="56" ht="21.75" customHeight="1">
      <c r="A56" s="2"/>
      <c r="B56" s="2"/>
      <c r="C56" s="2"/>
      <c r="D56" s="2"/>
      <c r="E56" s="2"/>
    </row>
    <row r="57" ht="21.75" customHeight="1">
      <c r="A57" s="2"/>
      <c r="B57" s="2"/>
      <c r="C57" s="2"/>
      <c r="D57" s="2"/>
      <c r="E57" s="2"/>
    </row>
    <row r="58" ht="21.75" customHeight="1">
      <c r="A58" s="2"/>
      <c r="B58" s="2"/>
      <c r="C58" s="2"/>
      <c r="D58" s="2"/>
      <c r="E58" s="2"/>
    </row>
    <row r="59" ht="21.75" customHeight="1">
      <c r="A59" s="2"/>
      <c r="B59" s="2"/>
      <c r="C59" s="2"/>
      <c r="D59" s="2"/>
      <c r="E59" s="2"/>
    </row>
    <row r="60" ht="21.75" customHeight="1">
      <c r="A60" s="2"/>
      <c r="B60" s="2"/>
      <c r="C60" s="2"/>
      <c r="D60" s="2"/>
      <c r="E60" s="2"/>
    </row>
    <row r="61" ht="21.75" customHeight="1">
      <c r="A61" s="2"/>
      <c r="B61" s="2"/>
      <c r="C61" s="2"/>
      <c r="D61" s="2"/>
      <c r="E61" s="2"/>
    </row>
    <row r="62" ht="21.75" customHeight="1">
      <c r="A62" s="2"/>
      <c r="B62" s="2"/>
      <c r="C62" s="2"/>
      <c r="D62" s="2"/>
      <c r="E62" s="2"/>
    </row>
    <row r="63" ht="21.75" customHeight="1">
      <c r="A63" s="2"/>
      <c r="B63" s="2"/>
      <c r="C63" s="2"/>
      <c r="D63" s="2"/>
      <c r="E63" s="2"/>
    </row>
    <row r="64" ht="21.75" customHeight="1">
      <c r="A64" s="2"/>
      <c r="B64" s="2"/>
      <c r="C64" s="2"/>
      <c r="D64" s="2"/>
      <c r="E64" s="2"/>
    </row>
    <row r="65" ht="21.75" customHeight="1">
      <c r="A65" s="2"/>
      <c r="B65" s="2"/>
      <c r="C65" s="2"/>
      <c r="D65" s="2"/>
      <c r="E65" s="2"/>
    </row>
    <row r="66" ht="21.75" customHeight="1">
      <c r="A66" s="2"/>
      <c r="B66" s="2"/>
      <c r="C66" s="2"/>
      <c r="D66" s="2"/>
      <c r="E66" s="2"/>
    </row>
    <row r="67" ht="21.75" customHeight="1">
      <c r="A67" s="2"/>
      <c r="B67" s="2"/>
      <c r="C67" s="2"/>
      <c r="D67" s="2"/>
      <c r="E67" s="2"/>
    </row>
    <row r="68" ht="21.75" customHeight="1">
      <c r="A68" s="2"/>
      <c r="B68" s="2"/>
      <c r="C68" s="2"/>
      <c r="D68" s="2"/>
      <c r="E68" s="2"/>
    </row>
    <row r="69" ht="21.75" customHeight="1">
      <c r="A69" s="2"/>
      <c r="B69" s="2"/>
      <c r="C69" s="2"/>
      <c r="D69" s="2"/>
      <c r="E69" s="2"/>
    </row>
    <row r="70" ht="21.75" customHeight="1">
      <c r="A70" s="2"/>
      <c r="B70" s="2"/>
      <c r="C70" s="2"/>
      <c r="D70" s="2"/>
      <c r="E70" s="2"/>
    </row>
    <row r="71" ht="21.75" customHeight="1">
      <c r="A71" s="2"/>
      <c r="B71" s="2"/>
      <c r="C71" s="2"/>
      <c r="D71" s="2"/>
      <c r="E71" s="2"/>
    </row>
    <row r="72" ht="21.75" customHeight="1">
      <c r="A72" s="2"/>
      <c r="B72" s="2"/>
      <c r="C72" s="2"/>
      <c r="D72" s="2"/>
      <c r="E72" s="2"/>
    </row>
    <row r="73" ht="21.75" customHeight="1">
      <c r="A73" s="2"/>
      <c r="B73" s="2"/>
      <c r="C73" s="2"/>
      <c r="D73" s="2"/>
      <c r="E73" s="2"/>
    </row>
    <row r="74" ht="21.75" customHeight="1">
      <c r="A74" s="2"/>
      <c r="B74" s="2"/>
      <c r="C74" s="2"/>
      <c r="D74" s="2"/>
      <c r="E74" s="2"/>
    </row>
    <row r="75" ht="21.75" customHeight="1">
      <c r="A75" s="2"/>
      <c r="B75" s="2"/>
      <c r="C75" s="2"/>
      <c r="D75" s="2"/>
      <c r="E75" s="2"/>
    </row>
    <row r="76" ht="21.75" customHeight="1">
      <c r="A76" s="2"/>
      <c r="B76" s="2"/>
      <c r="C76" s="2"/>
      <c r="D76" s="2"/>
      <c r="E76" s="2"/>
    </row>
    <row r="77" ht="21.75" customHeight="1">
      <c r="A77" s="2"/>
      <c r="B77" s="2"/>
      <c r="C77" s="2"/>
      <c r="D77" s="2"/>
      <c r="E77" s="2"/>
    </row>
    <row r="78" ht="21.75" customHeight="1">
      <c r="A78" s="2"/>
      <c r="B78" s="2"/>
      <c r="C78" s="2"/>
      <c r="D78" s="2"/>
      <c r="E78" s="2"/>
    </row>
    <row r="79" ht="21.75" customHeight="1">
      <c r="A79" s="2"/>
      <c r="B79" s="2"/>
      <c r="C79" s="2"/>
      <c r="D79" s="2"/>
      <c r="E79" s="2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2:C2"/>
    <mergeCell ref="B3:C3"/>
    <mergeCell ref="B4:C4"/>
    <mergeCell ref="B6:C6"/>
    <mergeCell ref="B7:C7"/>
    <mergeCell ref="B8:C8"/>
    <mergeCell ref="B9:C9"/>
    <mergeCell ref="B10:C10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34:C34"/>
    <mergeCell ref="B35:C35"/>
    <mergeCell ref="B37:C37"/>
    <mergeCell ref="B26:C26"/>
    <mergeCell ref="B27:C27"/>
    <mergeCell ref="B28:C28"/>
    <mergeCell ref="B30:C30"/>
    <mergeCell ref="B31:C31"/>
    <mergeCell ref="B32:C32"/>
    <mergeCell ref="B33:C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17</v>
      </c>
      <c r="C4" s="1" t="s">
        <v>19</v>
      </c>
      <c r="D4" s="1" t="s">
        <v>20</v>
      </c>
      <c r="E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</row>
    <row r="9">
      <c r="A9" s="1" t="s">
        <v>42</v>
      </c>
      <c r="B9" s="1" t="s">
        <v>43</v>
      </c>
      <c r="D9" s="1" t="s">
        <v>44</v>
      </c>
      <c r="E9" s="1" t="s">
        <v>45</v>
      </c>
    </row>
    <row r="10">
      <c r="A10" s="1" t="s">
        <v>46</v>
      </c>
      <c r="B10" s="1" t="s">
        <v>47</v>
      </c>
      <c r="D10" s="1" t="s">
        <v>48</v>
      </c>
      <c r="E10" s="1" t="s">
        <v>50</v>
      </c>
    </row>
    <row r="11">
      <c r="B11" s="1" t="s">
        <v>51</v>
      </c>
      <c r="D11" s="1" t="s">
        <v>53</v>
      </c>
      <c r="E11" s="1" t="s">
        <v>54</v>
      </c>
    </row>
    <row r="12">
      <c r="B12" s="1" t="s">
        <v>55</v>
      </c>
      <c r="D12" s="1" t="s">
        <v>56</v>
      </c>
      <c r="E12" s="1" t="s">
        <v>57</v>
      </c>
    </row>
    <row r="13">
      <c r="B13" s="1" t="s">
        <v>58</v>
      </c>
      <c r="D13" s="1" t="s">
        <v>59</v>
      </c>
      <c r="E13" s="1" t="s">
        <v>60</v>
      </c>
    </row>
    <row r="14">
      <c r="B14" s="1" t="s">
        <v>61</v>
      </c>
      <c r="D14" s="1" t="s">
        <v>62</v>
      </c>
      <c r="E14" s="1" t="s">
        <v>63</v>
      </c>
    </row>
    <row r="15">
      <c r="B15" s="1" t="s">
        <v>64</v>
      </c>
      <c r="D15" s="1" t="s">
        <v>65</v>
      </c>
      <c r="E15" s="1" t="s">
        <v>39</v>
      </c>
    </row>
    <row r="16">
      <c r="B16" s="1" t="s">
        <v>66</v>
      </c>
      <c r="D16" s="1" t="s">
        <v>67</v>
      </c>
    </row>
    <row r="17">
      <c r="B17" s="1" t="s">
        <v>68</v>
      </c>
      <c r="D17" s="1" t="s">
        <v>69</v>
      </c>
    </row>
    <row r="18">
      <c r="B18" s="1" t="s">
        <v>70</v>
      </c>
      <c r="D18" s="1" t="s">
        <v>71</v>
      </c>
    </row>
    <row r="19">
      <c r="B19" s="1" t="s">
        <v>72</v>
      </c>
      <c r="D19" s="1" t="s">
        <v>73</v>
      </c>
    </row>
    <row r="20">
      <c r="B20" s="1" t="s">
        <v>75</v>
      </c>
      <c r="D20" s="1" t="s">
        <v>76</v>
      </c>
    </row>
    <row r="21" ht="15.75" customHeight="1">
      <c r="B21" s="1" t="s">
        <v>77</v>
      </c>
      <c r="D21" s="1" t="s">
        <v>78</v>
      </c>
    </row>
    <row r="22" ht="15.75" customHeight="1">
      <c r="B22" s="1" t="s">
        <v>79</v>
      </c>
      <c r="D22" s="1" t="s">
        <v>80</v>
      </c>
    </row>
    <row r="23" ht="15.75" customHeight="1">
      <c r="B23" s="1" t="s">
        <v>81</v>
      </c>
      <c r="D23" s="1" t="s">
        <v>82</v>
      </c>
    </row>
    <row r="24" ht="15.75" customHeight="1">
      <c r="B24" s="1" t="s">
        <v>84</v>
      </c>
      <c r="D24" s="1" t="s">
        <v>85</v>
      </c>
    </row>
    <row r="25" ht="15.75" customHeight="1">
      <c r="B25" s="1" t="s">
        <v>86</v>
      </c>
      <c r="D25" s="1" t="s">
        <v>87</v>
      </c>
    </row>
    <row r="26" ht="15.75" customHeight="1">
      <c r="D26" s="1" t="s">
        <v>88</v>
      </c>
    </row>
    <row r="27" ht="15.75" customHeight="1">
      <c r="D27" s="1" t="s">
        <v>89</v>
      </c>
    </row>
    <row r="28" ht="15.75" customHeight="1">
      <c r="D28" s="1" t="s">
        <v>91</v>
      </c>
    </row>
    <row r="29" ht="15.75" customHeight="1">
      <c r="D29" s="1" t="s">
        <v>93</v>
      </c>
    </row>
    <row r="30" ht="15.75" customHeight="1">
      <c r="D30" s="1" t="s">
        <v>94</v>
      </c>
    </row>
    <row r="31" ht="15.75" customHeight="1">
      <c r="D31" s="1" t="s">
        <v>95</v>
      </c>
    </row>
    <row r="32" ht="15.75" customHeight="1">
      <c r="D32" s="1" t="s">
        <v>97</v>
      </c>
    </row>
    <row r="33" ht="15.75" customHeight="1">
      <c r="D33" s="1" t="s">
        <v>99</v>
      </c>
    </row>
    <row r="34" ht="15.75" customHeight="1">
      <c r="D34" s="1" t="s">
        <v>100</v>
      </c>
    </row>
    <row r="35" ht="15.75" customHeight="1">
      <c r="D35" s="1" t="s">
        <v>101</v>
      </c>
    </row>
    <row r="36" ht="15.75" customHeight="1">
      <c r="D36" s="1" t="s">
        <v>103</v>
      </c>
    </row>
    <row r="37" ht="15.75" customHeight="1">
      <c r="D37" s="1" t="s">
        <v>105</v>
      </c>
    </row>
    <row r="38" ht="15.75" customHeight="1">
      <c r="D38" s="1" t="s">
        <v>106</v>
      </c>
    </row>
    <row r="39" ht="15.75" customHeight="1">
      <c r="D39" s="1" t="s">
        <v>107</v>
      </c>
    </row>
    <row r="40" ht="15.75" customHeight="1">
      <c r="D40" s="1" t="s">
        <v>108</v>
      </c>
    </row>
    <row r="41" ht="15.75" customHeight="1">
      <c r="D41" s="1" t="s">
        <v>110</v>
      </c>
    </row>
    <row r="42" ht="15.75" customHeight="1">
      <c r="D42" s="1" t="s">
        <v>39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4.0"/>
    <col customWidth="1" min="3" max="3" width="16.0"/>
    <col customWidth="1" min="4" max="4" width="2.0"/>
    <col customWidth="1" min="5" max="5" width="24.0"/>
    <col customWidth="1" min="6" max="6" width="16.0"/>
    <col customWidth="1" min="7" max="7" width="2.0"/>
    <col customWidth="1" min="8" max="8" width="24.0"/>
    <col customWidth="1" min="9" max="9" width="16.0"/>
    <col customWidth="1" min="10" max="10" width="2.0"/>
    <col customWidth="1" min="11" max="26" width="8.71"/>
  </cols>
  <sheetData>
    <row r="1" ht="43.5" customHeight="1">
      <c r="A1" s="2"/>
      <c r="B1" s="3" t="s">
        <v>16</v>
      </c>
      <c r="C1" s="5"/>
      <c r="D1" s="5"/>
      <c r="E1" s="5"/>
      <c r="F1" s="5"/>
      <c r="G1" s="5"/>
      <c r="H1" s="5"/>
      <c r="I1" s="6"/>
      <c r="J1" s="2"/>
      <c r="K1" s="2"/>
    </row>
    <row r="2" ht="24.0" customHeight="1">
      <c r="A2" s="2"/>
      <c r="B2" s="8" t="s">
        <v>52</v>
      </c>
      <c r="C2" s="5"/>
      <c r="D2" s="5"/>
      <c r="E2" s="5"/>
      <c r="F2" s="5"/>
      <c r="G2" s="5"/>
      <c r="H2" s="5"/>
      <c r="I2" s="6"/>
      <c r="J2" s="2"/>
      <c r="K2" s="2"/>
    </row>
    <row r="3" ht="3.75" customHeight="1">
      <c r="A3" s="2"/>
      <c r="B3" s="9"/>
      <c r="C3" s="5"/>
      <c r="D3" s="5"/>
      <c r="E3" s="5"/>
      <c r="F3" s="5"/>
      <c r="G3" s="5"/>
      <c r="H3" s="5"/>
      <c r="I3" s="6"/>
      <c r="J3" s="2"/>
      <c r="K3" s="2"/>
    </row>
    <row r="4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27.75" customHeight="1">
      <c r="A5" s="2"/>
      <c r="B5" s="12" t="s">
        <v>90</v>
      </c>
      <c r="C5" s="6"/>
      <c r="D5" s="2"/>
      <c r="E5" s="13" t="s">
        <v>96</v>
      </c>
      <c r="F5" s="6"/>
      <c r="G5" s="2"/>
      <c r="H5" s="14" t="s">
        <v>104</v>
      </c>
      <c r="I5" s="6"/>
      <c r="J5" s="2"/>
      <c r="K5" s="2"/>
    </row>
    <row r="6" ht="60.0" customHeight="1">
      <c r="A6" s="2"/>
      <c r="B6" s="24">
        <f>COUNTA('📅 Janvier'!A4:A500)+COUNTA('📅 Février'!A4:A500)+COUNTA('📅 Mars'!A4:A500)+COUNTA('📅 Avril'!A4:A500)+COUNTA('📅 Mai'!A4:A500)+COUNTA('📅 Juin'!A4:A520)+COUNTA('📅 Juillet'!A4:A522)+COUNTA('📅 Août'!A4:A508)+COUNTA('📅 Septembre'!A6:A500)+COUNTA('📅 Octobre'!A4:A500)+COUNTA('📅 Novembre'!A4:A500)+COUNTA('📅 Décembre'!A4:A500)</f>
        <v>134</v>
      </c>
      <c r="C6" s="6"/>
      <c r="D6" s="2"/>
      <c r="E6" s="31">
        <f>COUNTIF('📅 Janvier'!$K:$K,"RDV honoré")+COUNTIF('📅 Février'!$K:$K,"RDV honoré")+COUNTIF('📅 Mars'!$K:$K,"RDV honoré")+COUNTIF('📅 Avril'!$K:$K,"RDV honoré")+COUNTIF('📅 Mai'!$K:$K,"RDV honoré")+COUNTIF('📅 Juin'!$K:$K,"RDV honoré")+COUNTIF('📅 Juillet'!$K:$K,"RDV honoré")+COUNTIF('📅 Août'!$K:$K,"RDV honoré")+COUNTIF('📅 Septembre'!$K:$K,"RDV honoré")+COUNTIF('📅 Octobre'!$K:$K,"RDV honoré")+COUNTIF('📅 Novembre'!$K:$K,"RDV honoré")+COUNTIF('📅 Décembre'!$K:$K,"RDV honoré")</f>
        <v>1</v>
      </c>
      <c r="F6" s="6"/>
      <c r="G6" s="2"/>
      <c r="H6" s="34">
        <f>COUNTA('📅 Janvier'!$I4:$I500)+COUNTA('📅 Février'!$I4:$I500)+COUNTA('📅 Mars'!$I4:$I500)+COUNTA('📅 Avril'!$I4:$I500)+COUNTA('📅 Mai'!$I4:$I500)+COUNTA('📅 Juin'!$I4:$I520)+COUNTA('📅 Juillet'!$I4:$I522)+COUNTA('📅 Août'!$I4:$I508)+COUNTA('📅 Septembre'!$I6:$I500)+COUNTA('📅 Octobre'!$I4:$I500)+COUNTA('📅 Novembre'!$I4:$I500)+COUNTA('📅 Décembre'!$I4:$I500)</f>
        <v>0</v>
      </c>
      <c r="I6" s="6"/>
      <c r="J6" s="2"/>
      <c r="K6" s="2"/>
    </row>
    <row r="7" ht="3.75" customHeight="1">
      <c r="A7" s="2"/>
      <c r="B7" s="35"/>
      <c r="C7" s="6"/>
      <c r="D7" s="2"/>
      <c r="E7" s="36"/>
      <c r="F7" s="6"/>
      <c r="G7" s="2"/>
      <c r="H7" s="37"/>
      <c r="I7" s="6"/>
      <c r="J7" s="2"/>
      <c r="K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30.0" customHeight="1">
      <c r="A9" s="2"/>
      <c r="B9" s="38" t="s">
        <v>148</v>
      </c>
      <c r="C9" s="6"/>
      <c r="D9" s="39" t="str">
        <f>IF((COUNTA('📅 Janvier'!A4:A500)+COUNTA('📅 Février'!A4:A500)+COUNTA('📅 Mars'!A4:A500)+COUNTA('📅 Avril'!A4:A500)+COUNTA('📅 Mai'!A4:A500)+COUNTA('📅 Juin'!A4:A520)+COUNTA('📅 Juillet'!A4:A522)+COUNTA('📅 Août'!A4:A508)+COUNTA('📅 Septembre'!A6:A500)+COUNTA('📅 Octobre'!A4:A500)+COUNTA('📅 Novembre'!A4:A500)+COUNTA('📅 Décembre'!A4:A500))=0,"—",TEXT((COUNTIF('📅 Janvier'!$K:$K,"RDV honoré")+COUNTIF('📅 Février'!$K:$K,"RDV honoré")+COUNTIF('📅 Mars'!$K:$K,"RDV honoré")+COUNTIF('📅 Avril'!$K:$K,"RDV honoré")+COUNTIF('📅 Mai'!$K:$K,"RDV honoré")+COUNTIF('📅 Juin'!$K:$K,"RDV honoré")+COUNTIF('📅 Juillet'!$K:$K,"RDV honoré")+COUNTIF('📅 Août'!$K:$K,"RDV honoré")+COUNTIF('📅 Septembre'!$K:$K,"RDV honoré")+COUNTIF('📅 Octobre'!$K:$K,"RDV honoré")+COUNTIF('📅 Novembre'!$K:$K,"RDV honoré")+COUNTIF('📅 Décembre'!$K:$K,"RDV honoré"))/(COUNTA('📅 Janvier'!A4:A500)+COUNTA('📅 Février'!A4:A500)+COUNTA('📅 Mars'!A4:A500)+COUNTA('📅 Avril'!A4:A500)+COUNTA('📅 Mai'!A4:A500)+COUNTA('📅 Juin'!A4:A520)+COUNTA('📅 Juillet'!A4:A522)+COUNTA('📅 Août'!A4:A508)+COUNTA('📅 Septembre'!A6:A500)+COUNTA('📅 Octobre'!A4:A500)+COUNTA('📅 Novembre'!A4:A500)+COUNTA('📅 Décembre'!A4:A500)),"0.0%"))</f>
        <v>0,7%</v>
      </c>
      <c r="E9" s="5"/>
      <c r="F9" s="6"/>
      <c r="G9" s="40" t="s">
        <v>149</v>
      </c>
      <c r="H9" s="5"/>
      <c r="I9" s="6"/>
      <c r="J9" s="2"/>
      <c r="K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25.5" customHeight="1">
      <c r="A11" s="2"/>
      <c r="B11" s="10" t="s">
        <v>150</v>
      </c>
      <c r="C11" s="6"/>
      <c r="D11" s="2"/>
      <c r="E11" s="10" t="s">
        <v>152</v>
      </c>
      <c r="F11" s="6"/>
      <c r="G11" s="2"/>
      <c r="H11" s="2"/>
      <c r="I11" s="2"/>
      <c r="J11" s="2"/>
      <c r="K11" s="2"/>
    </row>
    <row r="12" ht="21.75" customHeight="1">
      <c r="A12" s="2"/>
      <c r="B12" s="27" t="s">
        <v>138</v>
      </c>
      <c r="C12" s="27" t="s">
        <v>153</v>
      </c>
      <c r="D12" s="2"/>
      <c r="E12" s="27" t="s">
        <v>154</v>
      </c>
      <c r="F12" s="27" t="s">
        <v>153</v>
      </c>
      <c r="G12" s="2"/>
      <c r="H12" s="2"/>
      <c r="I12" s="2"/>
      <c r="J12" s="2"/>
      <c r="K12" s="2"/>
    </row>
    <row r="13" ht="21.75" customHeight="1">
      <c r="A13" s="2"/>
      <c r="B13" s="41" t="s">
        <v>5</v>
      </c>
      <c r="C13" s="42">
        <f>COUNTIF('📅 Janvier'!$K:$K,"Nouveau lead")+COUNTIF('📅 Février'!$K:$K,"Nouveau lead")+COUNTIF('📅 Mars'!$K:$K,"Nouveau lead")+COUNTIF('📅 Avril'!$K:$K,"Nouveau lead")+COUNTIF('📅 Mai'!$K:$K,"Nouveau lead")+COUNTIF('📅 Juin'!$K:$K,"Nouveau lead")+COUNTIF('📅 Juillet'!$K:$K,"Nouveau lead")+COUNTIF('📅 Août'!$K:$K,"Nouveau lead")+COUNTIF('📅 Septembre'!$K:$K,"Nouveau lead")+COUNTIF('📅 Octobre'!$K:$K,"Nouveau lead")+COUNTIF('📅 Novembre'!$K:$K,"Nouveau lead")+COUNTIF('📅 Décembre'!$K:$K,"Nouveau lead")</f>
        <v>37</v>
      </c>
      <c r="D13" s="2"/>
      <c r="E13" s="43" t="s">
        <v>7</v>
      </c>
      <c r="F13" s="44">
        <f>COUNTIF('📅 Janvier'!$C:$C,"WhatsApp")+COUNTIF('📅 Février'!$C:$C,"WhatsApp")+COUNTIF('📅 Mars'!$C:$C,"WhatsApp")+COUNTIF('📅 Avril'!$C:$C,"WhatsApp")+COUNTIF('📅 Mai'!$C:$C,"WhatsApp")+COUNTIF('📅 Juin'!$C:$C,"WhatsApp")+COUNTIF('📅 Juillet'!$C:$C,"WhatsApp")+COUNTIF('📅 Août'!$C:$C,"WhatsApp")+COUNTIF('📅 Septembre'!$C:$C,"WhatsApp")+COUNTIF('📅 Octobre'!$C:$C,"WhatsApp")+COUNTIF('📅 Novembre'!$C:$C,"WhatsApp")+COUNTIF('📅 Décembre'!$C:$C,"WhatsApp")</f>
        <v>54</v>
      </c>
      <c r="G13" s="2"/>
      <c r="H13" s="2"/>
      <c r="I13" s="2"/>
      <c r="J13" s="2"/>
      <c r="K13" s="2"/>
    </row>
    <row r="14" ht="21.75" customHeight="1">
      <c r="A14" s="2"/>
      <c r="B14" s="45" t="s">
        <v>10</v>
      </c>
      <c r="C14" s="46">
        <f>COUNTIF('📅 Janvier'!$K:$K,"Appel 1 effectué")+COUNTIF('📅 Février'!$K:$K,"Appel 1 effectué")+COUNTIF('📅 Mars'!$K:$K,"Appel 1 effectué")+COUNTIF('📅 Avril'!$K:$K,"Appel 1 effectué")+COUNTIF('📅 Mai'!$K:$K,"Appel 1 effectué")+COUNTIF('📅 Juin'!$K:$K,"Appel 1 effectué")+COUNTIF('📅 Juillet'!$K:$K,"Appel 1 effectué")+COUNTIF('📅 Août'!$K:$K,"Appel 1 effectué")+COUNTIF('📅 Septembre'!$K:$K,"Appel 1 effectué")+COUNTIF('📅 Octobre'!$K:$K,"Appel 1 effectué")+COUNTIF('📅 Novembre'!$K:$K,"Appel 1 effectué")+COUNTIF('📅 Décembre'!$K:$K,"Appel 1 effectué")</f>
        <v>1</v>
      </c>
      <c r="D14" s="2"/>
      <c r="E14" s="47" t="s">
        <v>12</v>
      </c>
      <c r="F14" s="48">
        <f>COUNTIF('📅 Janvier'!$C:$C,"Instagram")+COUNTIF('📅 Février'!$C:$C,"Instagram")+COUNTIF('📅 Mars'!$C:$C,"Instagram")+COUNTIF('📅 Avril'!$C:$C,"Instagram")+COUNTIF('📅 Mai'!$C:$C,"Instagram")+COUNTIF('📅 Juin'!$C:$C,"Instagram")+COUNTIF('📅 Juillet'!$C:$C,"Instagram")+COUNTIF('📅 Août'!$C:$C,"Instagram")+COUNTIF('📅 Septembre'!$C:$C,"Instagram")+COUNTIF('📅 Octobre'!$C:$C,"Instagram")+COUNTIF('📅 Novembre'!$C:$C,"Instagram")+COUNTIF('📅 Décembre'!$C:$C,"Instagram")</f>
        <v>26</v>
      </c>
      <c r="G14" s="2"/>
      <c r="H14" s="2"/>
      <c r="I14" s="2"/>
      <c r="J14" s="2"/>
      <c r="K14" s="2"/>
    </row>
    <row r="15" ht="21.75" customHeight="1">
      <c r="A15" s="2"/>
      <c r="B15" s="49" t="s">
        <v>15</v>
      </c>
      <c r="C15" s="50">
        <f>COUNTIF('📅 Janvier'!$K:$K,"En attente VIN/Photo")+COUNTIF('📅 Février'!$K:$K,"En attente VIN/Photo")+COUNTIF('📅 Mars'!$K:$K,"En attente VIN/Photo")+COUNTIF('📅 Avril'!$K:$K,"En attente VIN/Photo")+COUNTIF('📅 Mai'!$K:$K,"En attente VIN/Photo")+COUNTIF('📅 Juin'!$K:$K,"En attente VIN/Photo")+COUNTIF('📅 Juillet'!$K:$K,"En attente VIN/Photo")+COUNTIF('📅 Août'!$K:$K,"En attente VIN/Photo")+COUNTIF('📅 Septembre'!$K:$K,"En attente VIN/Photo")+COUNTIF('📅 Octobre'!$K:$K,"En attente VIN/Photo")+COUNTIF('📅 Novembre'!$K:$K,"En attente VIN/Photo")+COUNTIF('📅 Décembre'!$K:$K,"En attente VIN/Photo")</f>
        <v>14</v>
      </c>
      <c r="D15" s="2"/>
      <c r="E15" s="51" t="s">
        <v>19</v>
      </c>
      <c r="F15" s="52">
        <f>COUNTIF('📅 Janvier'!$C:$C,"Messenger")+COUNTIF('📅 Février'!$C:$C,"Messenger")+COUNTIF('📅 Mars'!$C:$C,"Messenger")+COUNTIF('📅 Avril'!$C:$C,"Messenger")+COUNTIF('📅 Mai'!$C:$C,"Messenger")+COUNTIF('📅 Juin'!$C:$C,"Messenger")+COUNTIF('📅 Juillet'!$C:$C,"Messenger")+COUNTIF('📅 Août'!$C:$C,"Messenger")+COUNTIF('📅 Septembre'!$C:$C,"Messenger")+COUNTIF('📅 Octobre'!$C:$C,"Messenger")+COUNTIF('📅 Novembre'!$C:$C,"Messenger")+COUNTIF('📅 Décembre'!$C:$C,"Messenger")</f>
        <v>65</v>
      </c>
      <c r="G15" s="2"/>
      <c r="H15" s="2"/>
      <c r="I15" s="2"/>
      <c r="J15" s="2"/>
      <c r="K15" s="2"/>
    </row>
    <row r="16" ht="21.75" customHeight="1">
      <c r="A16" s="2"/>
      <c r="B16" s="53" t="s">
        <v>22</v>
      </c>
      <c r="C16" s="54">
        <f>COUNTIF('📅 Janvier'!$K:$K,"Vérification")+COUNTIF('📅 Février'!$K:$K,"Vérification")+COUNTIF('📅 Mars'!$K:$K,"Vérification")+COUNTIF('📅 Avril'!$K:$K,"Vérification")+COUNTIF('📅 Mai'!$K:$K,"Vérification")+COUNTIF('📅 Juin'!$K:$K,"Vérification")+COUNTIF('📅 Juillet'!$K:$K,"Vérification")+COUNTIF('📅 Août'!$K:$K,"Vérification")+COUNTIF('📅 Septembre'!$K:$K,"Vérification")+COUNTIF('📅 Octobre'!$K:$K,"Vérification")+COUNTIF('📅 Novembre'!$K:$K,"Vérification")+COUNTIF('📅 Décembre'!$K:$K,"Vérification")</f>
        <v>11</v>
      </c>
      <c r="D16" s="2"/>
      <c r="E16" s="55" t="s">
        <v>24</v>
      </c>
      <c r="F16" s="56">
        <f>COUNTIF('📅 Janvier'!$C:$C,"Appel direct")+COUNTIF('📅 Février'!$C:$C,"Appel direct")+COUNTIF('📅 Mars'!$C:$C,"Appel direct")+COUNTIF('📅 Avril'!$C:$C,"Appel direct")+COUNTIF('📅 Mai'!$C:$C,"Appel direct")+COUNTIF('📅 Juin'!$C:$C,"Appel direct")+COUNTIF('📅 Juillet'!$C:$C,"Appel direct")+COUNTIF('📅 Août'!$C:$C,"Appel direct")+COUNTIF('📅 Septembre'!$C:$C,"Appel direct")+COUNTIF('📅 Octobre'!$C:$C,"Appel direct")+COUNTIF('📅 Novembre'!$C:$C,"Appel direct")+COUNTIF('📅 Décembre'!$C:$C,"Appel direct")</f>
        <v>7</v>
      </c>
      <c r="G16" s="2"/>
      <c r="H16" s="2"/>
      <c r="I16" s="2"/>
      <c r="J16" s="2"/>
      <c r="K16" s="2"/>
    </row>
    <row r="17" ht="21.75" customHeight="1">
      <c r="A17" s="2"/>
      <c r="B17" s="57" t="s">
        <v>27</v>
      </c>
      <c r="C17" s="58">
        <f>COUNTIF('📅 Janvier'!$K:$K,"Appel 2 effectué")+COUNTIF('📅 Février'!$K:$K,"Appel 2 effectué")+COUNTIF('📅 Mars'!$K:$K,"Appel 2 effectué")+COUNTIF('📅 Avril'!$K:$K,"Appel 2 effectué")+COUNTIF('📅 Mai'!$K:$K,"Appel 2 effectué")+COUNTIF('📅 Juin'!$K:$K,"Appel 2 effectué")+COUNTIF('📅 Juillet'!$K:$K,"Appel 2 effectué")+COUNTIF('📅 Août'!$K:$K,"Appel 2 effectué")+COUNTIF('📅 Septembre'!$K:$K,"Appel 2 effectué")+COUNTIF('📅 Octobre'!$K:$K,"Appel 2 effectué")+COUNTIF('📅 Novembre'!$K:$K,"Appel 2 effectué")+COUNTIF('📅 Décembre'!$K:$K,"Appel 2 effectué")</f>
        <v>0</v>
      </c>
      <c r="D17" s="2"/>
      <c r="E17" s="59" t="s">
        <v>29</v>
      </c>
      <c r="F17" s="60">
        <f>COUNTIF('📅 Janvier'!$C:$C,"TikTok")+COUNTIF('📅 Février'!$C:$C,"TikTok")+COUNTIF('📅 Mars'!$C:$C,"TikTok")+COUNTIF('📅 Avril'!$C:$C,"TikTok")+COUNTIF('📅 Mai'!$C:$C,"TikTok")+COUNTIF('📅 Juin'!$C:$C,"TikTok")+COUNTIF('📅 Juillet'!$C:$C,"TikTok")+COUNTIF('📅 Août'!$C:$C,"TikTok")+COUNTIF('📅 Septembre'!$C:$C,"TikTok")+COUNTIF('📅 Octobre'!$C:$C,"TikTok")+COUNTIF('📅 Novembre'!$C:$C,"TikTok")+COUNTIF('📅 Décembre'!$C:$C,"TikTok")</f>
        <v>0</v>
      </c>
      <c r="G17" s="2"/>
      <c r="H17" s="2"/>
      <c r="I17" s="2"/>
      <c r="J17" s="2"/>
      <c r="K17" s="2"/>
    </row>
    <row r="18" ht="21.75" customHeight="1">
      <c r="A18" s="2"/>
      <c r="B18" s="61" t="s">
        <v>32</v>
      </c>
      <c r="C18" s="62">
        <f>COUNTIF('📅 Janvier'!$K:$K,"RDV confirmé")+COUNTIF('📅 Février'!$K:$K,"RDV confirmé")+COUNTIF('📅 Mars'!$K:$K,"RDV confirmé")+COUNTIF('📅 Avril'!$K:$K,"RDV confirmé")+COUNTIF('📅 Mai'!$K:$K,"RDV confirmé")+COUNTIF('📅 Juin'!$K:$K,"RDV confirmé")+COUNTIF('📅 Juillet'!$K:$K,"RDV confirmé")+COUNTIF('📅 Août'!$K:$K,"RDV confirmé")+COUNTIF('📅 Septembre'!$K:$K,"RDV confirmé")+COUNTIF('📅 Octobre'!$K:$K,"RDV confirmé")+COUNTIF('📅 Novembre'!$K:$K,"RDV confirmé")+COUNTIF('📅 Décembre'!$K:$K,"RDV confirmé")</f>
        <v>55</v>
      </c>
      <c r="D18" s="2"/>
      <c r="E18" s="63" t="s">
        <v>34</v>
      </c>
      <c r="F18" s="64">
        <f>COUNTIF('📅 Janvier'!$C:$C,"Facebook")+COUNTIF('📅 Février'!$C:$C,"Facebook")+COUNTIF('📅 Mars'!$C:$C,"Facebook")+COUNTIF('📅 Avril'!$C:$C,"Facebook")+COUNTIF('📅 Mai'!$C:$C,"Facebook")+COUNTIF('📅 Juin'!$C:$C,"Facebook")+COUNTIF('📅 Juillet'!$C:$C,"Facebook")+COUNTIF('📅 Août'!$C:$C,"Facebook")+COUNTIF('📅 Septembre'!$C:$C,"Facebook")+COUNTIF('📅 Octobre'!$C:$C,"Facebook")+COUNTIF('📅 Novembre'!$C:$C,"Facebook")+COUNTIF('📅 Décembre'!$C:$C,"Facebook")</f>
        <v>0</v>
      </c>
      <c r="G18" s="2"/>
      <c r="H18" s="2"/>
      <c r="I18" s="2"/>
      <c r="J18" s="2"/>
      <c r="K18" s="2"/>
    </row>
    <row r="19" ht="21.75" customHeight="1">
      <c r="A19" s="2"/>
      <c r="B19" s="65" t="s">
        <v>37</v>
      </c>
      <c r="C19" s="66">
        <f>COUNTIF('📅 Janvier'!$K:$K,"RDV honoré")+COUNTIF('📅 Février'!$K:$K,"RDV honoré")+COUNTIF('📅 Mars'!$K:$K,"RDV honoré")+COUNTIF('📅 Avril'!$K:$K,"RDV honoré")+COUNTIF('📅 Mai'!$K:$K,"RDV honoré")+COUNTIF('📅 Juin'!$K:$K,"RDV honoré")+COUNTIF('📅 Juillet'!$K:$K,"RDV honoré")+COUNTIF('📅 Août'!$K:$K,"RDV honoré")+COUNTIF('📅 Septembre'!$K:$K,"RDV honoré")+COUNTIF('📅 Octobre'!$K:$K,"RDV honoré")+COUNTIF('📅 Novembre'!$K:$K,"RDV honoré")+COUNTIF('📅 Décembre'!$K:$K,"RDV honoré")</f>
        <v>1</v>
      </c>
      <c r="D19" s="2"/>
      <c r="E19" s="67" t="s">
        <v>39</v>
      </c>
      <c r="F19" s="68">
        <f>COUNTIF('📅 Janvier'!$C:$C,"Autre")+COUNTIF('📅 Février'!$C:$C,"Autre")+COUNTIF('📅 Mars'!$C:$C,"Autre")+COUNTIF('📅 Avril'!$C:$C,"Autre")+COUNTIF('📅 Mai'!$C:$C,"Autre")+COUNTIF('📅 Juin'!$C:$C,"Autre")+COUNTIF('📅 Juillet'!$C:$C,"Autre")+COUNTIF('📅 Août'!$C:$C,"Autre")+COUNTIF('📅 Septembre'!$C:$C,"Autre")+COUNTIF('📅 Octobre'!$C:$C,"Autre")+COUNTIF('📅 Novembre'!$C:$C,"Autre")+COUNTIF('📅 Décembre'!$C:$C,"Autre")</f>
        <v>0</v>
      </c>
      <c r="G19" s="2"/>
      <c r="H19" s="2"/>
      <c r="I19" s="2"/>
      <c r="J19" s="2"/>
      <c r="K19" s="2"/>
    </row>
    <row r="20" ht="21.75" customHeight="1">
      <c r="A20" s="2"/>
      <c r="B20" s="69" t="s">
        <v>42</v>
      </c>
      <c r="C20" s="70">
        <f>COUNTIF('📅 Janvier'!$K:$K,"Non faisable")+COUNTIF('📅 Février'!$K:$K,"Non faisable")+COUNTIF('📅 Mars'!$K:$K,"Non faisable")+COUNTIF('📅 Avril'!$K:$K,"Non faisable")+COUNTIF('📅 Mai'!$K:$K,"Non faisable")+COUNTIF('📅 Juin'!$K:$K,"Non faisable")+COUNTIF('📅 Juillet'!$K:$K,"Non faisable")+COUNTIF('📅 Août'!$K:$K,"Non faisable")+COUNTIF('📅 Septembre'!$K:$K,"Non faisable")+COUNTIF('📅 Octobre'!$K:$K,"Non faisable")+COUNTIF('📅 Novembre'!$K:$K,"Non faisable")+COUNTIF('📅 Décembre'!$K:$K,"Non faisable")</f>
        <v>6</v>
      </c>
      <c r="D20" s="2"/>
      <c r="E20" s="2"/>
      <c r="F20" s="2"/>
      <c r="G20" s="2"/>
      <c r="H20" s="2"/>
      <c r="I20" s="2"/>
      <c r="J20" s="2"/>
      <c r="K20" s="2"/>
    </row>
    <row r="21" ht="21.75" customHeight="1">
      <c r="A21" s="2"/>
      <c r="B21" s="71" t="s">
        <v>46</v>
      </c>
      <c r="C21" s="72">
        <f>COUNTIF('📅 Janvier'!$K:$K,"Annulé")+COUNTIF('📅 Février'!$K:$K,"Annulé")+COUNTIF('📅 Mars'!$K:$K,"Annulé")+COUNTIF('📅 Avril'!$K:$K,"Annulé")+COUNTIF('📅 Mai'!$K:$K,"Annulé")+COUNTIF('📅 Juin'!$K:$K,"Annulé")+COUNTIF('📅 Juillet'!$K:$K,"Annulé")+COUNTIF('📅 Août'!$K:$K,"Annulé")+COUNTIF('📅 Septembre'!$K:$K,"Annulé")+COUNTIF('📅 Octobre'!$K:$K,"Annulé")+COUNTIF('📅 Novembre'!$K:$K,"Annulé")+COUNTIF('📅 Décembre'!$K:$K,"Annulé")</f>
        <v>6</v>
      </c>
      <c r="D21" s="2"/>
      <c r="E21" s="2"/>
      <c r="F21" s="2"/>
      <c r="G21" s="2"/>
      <c r="H21" s="2"/>
      <c r="I21" s="2"/>
      <c r="J21" s="2"/>
      <c r="K21" s="2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25.5" customHeight="1">
      <c r="A24" s="2"/>
      <c r="B24" s="10" t="s">
        <v>155</v>
      </c>
      <c r="C24" s="5"/>
      <c r="D24" s="5"/>
      <c r="E24" s="5"/>
      <c r="F24" s="5"/>
      <c r="G24" s="5"/>
      <c r="H24" s="5"/>
      <c r="I24" s="6"/>
      <c r="J24" s="2"/>
      <c r="K24" s="2"/>
    </row>
    <row r="25" ht="21.75" customHeight="1">
      <c r="A25" s="2"/>
      <c r="B25" s="27" t="s">
        <v>156</v>
      </c>
      <c r="C25" s="27" t="s">
        <v>157</v>
      </c>
      <c r="D25" s="27" t="s">
        <v>158</v>
      </c>
      <c r="E25" s="27" t="s">
        <v>159</v>
      </c>
      <c r="F25" s="27" t="s">
        <v>160</v>
      </c>
      <c r="G25" s="27" t="s">
        <v>161</v>
      </c>
      <c r="H25" s="27" t="s">
        <v>162</v>
      </c>
      <c r="I25" s="27" t="s">
        <v>163</v>
      </c>
      <c r="J25" s="27" t="s">
        <v>164</v>
      </c>
      <c r="K25" s="27" t="s">
        <v>165</v>
      </c>
      <c r="L25" s="27" t="s">
        <v>166</v>
      </c>
      <c r="M25" s="27" t="s">
        <v>167</v>
      </c>
    </row>
    <row r="26" ht="33.75" customHeight="1">
      <c r="A26" s="2"/>
      <c r="B26" s="73">
        <f>COUNTA('📅 Janvier'!A4:A500)</f>
        <v>0</v>
      </c>
      <c r="C26" s="74">
        <f>COUNTA('📅 Février'!A4:A500)</f>
        <v>0</v>
      </c>
      <c r="D26" s="73">
        <f>COUNTA('📅 Mars'!A4:A500)</f>
        <v>0</v>
      </c>
      <c r="E26" s="74">
        <f>COUNTA('📅 Avril'!A4:A500)</f>
        <v>0</v>
      </c>
      <c r="F26" s="73">
        <f>COUNTA('📅 Mai'!A4:A500)</f>
        <v>0</v>
      </c>
      <c r="G26" s="74">
        <f>COUNTA('📅 Juin'!A4:A520)</f>
        <v>54</v>
      </c>
      <c r="H26" s="73">
        <f>COUNTA('📅 Juillet'!A4:A522)</f>
        <v>53</v>
      </c>
      <c r="I26" s="74">
        <f>COUNTA('📅 Août'!A4:A508)</f>
        <v>22</v>
      </c>
      <c r="J26" s="73">
        <f>COUNTA('📅 Septembre'!A6:A500)</f>
        <v>5</v>
      </c>
      <c r="K26" s="74">
        <f>COUNTA('📅 Octobre'!A4:A500)</f>
        <v>0</v>
      </c>
      <c r="L26" s="73">
        <f>COUNTA('📅 Novembre'!A4:A500)</f>
        <v>0</v>
      </c>
      <c r="M26" s="74">
        <f>COUNTA('📅 Décembre'!A4:A500)</f>
        <v>0</v>
      </c>
    </row>
    <row r="27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25.5" customHeight="1">
      <c r="A28" s="2"/>
      <c r="B28" s="10" t="s">
        <v>168</v>
      </c>
      <c r="C28" s="6"/>
      <c r="D28" s="2"/>
      <c r="E28" s="2"/>
      <c r="F28" s="2"/>
      <c r="G28" s="2"/>
      <c r="H28" s="2"/>
      <c r="I28" s="2"/>
      <c r="J28" s="2"/>
      <c r="K28" s="2"/>
    </row>
    <row r="29" ht="21.75" customHeight="1">
      <c r="A29" s="2"/>
      <c r="B29" s="27" t="s">
        <v>169</v>
      </c>
      <c r="C29" s="27" t="s">
        <v>153</v>
      </c>
      <c r="D29" s="2"/>
      <c r="E29" s="2"/>
      <c r="F29" s="2"/>
      <c r="G29" s="2"/>
      <c r="H29" s="2"/>
      <c r="I29" s="2"/>
      <c r="J29" s="2"/>
      <c r="K29" s="2"/>
    </row>
    <row r="30" ht="21.75" customHeight="1">
      <c r="A30" s="2"/>
      <c r="B30" s="75" t="s">
        <v>170</v>
      </c>
      <c r="C30" s="76">
        <f>COUNTIF('📅 Janvier'!$E:$E,"*BMW*")+COUNTIF('📅 Février'!$E:$E,"*BMW*")+COUNTIF('📅 Mars'!$E:$E,"*BMW*")+COUNTIF('📅 Avril'!$E:$E,"*BMW*")+COUNTIF('📅 Mai'!$E:$E,"*BMW*")+COUNTIF('📅 Juin'!$E:$E,"*BMW*")+COUNTIF('📅 Juillet'!$E:$E,"*BMW*")+COUNTIF('📅 Août'!$E:$E,"*BMW*")+COUNTIF('📅 Septembre'!$E:$E,"*BMW*")+COUNTIF('📅 Octobre'!$E:$E,"*BMW*")+COUNTIF('📅 Novembre'!$E:$E,"*BMW*")+COUNTIF('📅 Décembre'!$E:$E,"*BMW*")</f>
        <v>32</v>
      </c>
      <c r="D30" s="2"/>
      <c r="E30" s="2"/>
      <c r="F30" s="2"/>
      <c r="G30" s="2"/>
      <c r="H30" s="2"/>
      <c r="I30" s="2"/>
      <c r="J30" s="2"/>
      <c r="K30" s="2"/>
    </row>
    <row r="31" ht="21.75" customHeight="1">
      <c r="A31" s="2"/>
      <c r="B31" s="77" t="s">
        <v>171</v>
      </c>
      <c r="C31" s="78">
        <f>COUNTIF('📅 Janvier'!$E:$E,"*Mercedes*")+COUNTIF('📅 Février'!$E:$E,"*Mercedes*")+COUNTIF('📅 Mars'!$E:$E,"*Mercedes*")+COUNTIF('📅 Avril'!$E:$E,"*Mercedes*")+COUNTIF('📅 Mai'!$E:$E,"*Mercedes*")+COUNTIF('📅 Juin'!$E:$E,"*Mercedes*")+COUNTIF('📅 Juillet'!$E:$E,"*Mercedes*")+COUNTIF('📅 Août'!$E:$E,"*Mercedes*")+COUNTIF('📅 Septembre'!$E:$E,"*Mercedes*")+COUNTIF('📅 Octobre'!$E:$E,"*Mercedes*")+COUNTIF('📅 Novembre'!$E:$E,"*Mercedes*")+COUNTIF('📅 Décembre'!$E:$E,"*Mercedes*")</f>
        <v>70</v>
      </c>
      <c r="D31" s="2"/>
      <c r="E31" s="2"/>
      <c r="F31" s="2"/>
      <c r="G31" s="2"/>
      <c r="H31" s="2"/>
      <c r="I31" s="2"/>
      <c r="J31" s="2"/>
      <c r="K31" s="2"/>
    </row>
    <row r="32" ht="21.75" customHeight="1">
      <c r="A32" s="2"/>
      <c r="B32" s="79" t="s">
        <v>172</v>
      </c>
      <c r="C32" s="80">
        <f>COUNTIF('📅 Janvier'!$E:$E,"*VW*")+COUNTIF('📅 Février'!$E:$E,"*VW*")+COUNTIF('📅 Mars'!$E:$E,"*VW*")+COUNTIF('📅 Avril'!$E:$E,"*VW*")+COUNTIF('📅 Mai'!$E:$E,"*VW*")+COUNTIF('📅 Juin'!$E:$E,"*VW*")+COUNTIF('📅 Juillet'!$E:$E,"*VW*")+COUNTIF('📅 Août'!$E:$E,"*VW*")+COUNTIF('📅 Septembre'!$E:$E,"*VW*")+COUNTIF('📅 Octobre'!$E:$E,"*VW*")+COUNTIF('📅 Novembre'!$E:$E,"*VW*")+COUNTIF('📅 Décembre'!$E:$E,"*VW*")</f>
        <v>16</v>
      </c>
      <c r="D32" s="2"/>
      <c r="E32" s="2"/>
      <c r="F32" s="2"/>
      <c r="G32" s="2"/>
      <c r="H32" s="2"/>
      <c r="I32" s="2"/>
      <c r="J32" s="2"/>
      <c r="K32" s="2"/>
    </row>
    <row r="33" ht="21.75" customHeight="1">
      <c r="A33" s="2"/>
      <c r="B33" s="81" t="s">
        <v>173</v>
      </c>
      <c r="C33" s="82">
        <f>COUNTIF('📅 Janvier'!$E:$E,"*Audi*")+COUNTIF('📅 Février'!$E:$E,"*Audi*")+COUNTIF('📅 Mars'!$E:$E,"*Audi*")+COUNTIF('📅 Avril'!$E:$E,"*Audi*")+COUNTIF('📅 Mai'!$E:$E,"*Audi*")+COUNTIF('📅 Juin'!$E:$E,"*Audi*")+COUNTIF('📅 Juillet'!$E:$E,"*Audi*")+COUNTIF('📅 Août'!$E:$E,"*Audi*")+COUNTIF('📅 Septembre'!$E:$E,"*Audi*")+COUNTIF('📅 Octobre'!$E:$E,"*Audi*")+COUNTIF('📅 Novembre'!$E:$E,"*Audi*")+COUNTIF('📅 Décembre'!$E:$E,"*Audi*")</f>
        <v>15</v>
      </c>
      <c r="D33" s="2"/>
      <c r="E33" s="2"/>
      <c r="F33" s="2"/>
      <c r="G33" s="2"/>
      <c r="H33" s="2"/>
      <c r="I33" s="2"/>
      <c r="J33" s="2"/>
      <c r="K33" s="2"/>
    </row>
    <row r="34" ht="21.75" customHeight="1">
      <c r="A34" s="2"/>
      <c r="B34" s="83" t="s">
        <v>174</v>
      </c>
      <c r="C34" s="84">
        <f>COUNTIF('📅 Janvier'!$E:$E,"*Cupra*")+COUNTIF('📅 Février'!$E:$E,"*Cupra*")+COUNTIF('📅 Mars'!$E:$E,"*Cupra*")+COUNTIF('📅 Avril'!$E:$E,"*Cupra*")+COUNTIF('📅 Mai'!$E:$E,"*Cupra*")+COUNTIF('📅 Juin'!$E:$E,"*Cupra*")+COUNTIF('📅 Juillet'!$E:$E,"*Cupra*")+COUNTIF('📅 Août'!$E:$E,"*Cupra*")+COUNTIF('📅 Septembre'!$E:$E,"*Cupra*")+COUNTIF('📅 Octobre'!$E:$E,"*Cupra*")+COUNTIF('📅 Novembre'!$E:$E,"*Cupra*")+COUNTIF('📅 Décembre'!$E:$E,"*Cupra*")</f>
        <v>1</v>
      </c>
      <c r="D34" s="2"/>
      <c r="E34" s="2"/>
      <c r="F34" s="2"/>
      <c r="G34" s="2"/>
      <c r="H34" s="2"/>
      <c r="I34" s="2"/>
      <c r="J34" s="2"/>
      <c r="K34" s="2"/>
    </row>
    <row r="35" ht="21.75" customHeight="1">
      <c r="A35" s="2"/>
      <c r="B35" s="67" t="s">
        <v>175</v>
      </c>
      <c r="C35" s="68">
        <f>(COUNTA('📅 Janvier'!A4:A500)+COUNTA('📅 Février'!A4:A500)+COUNTA('📅 Mars'!A4:A500)+COUNTA('📅 Avril'!A4:A500)+COUNTA('📅 Mai'!A4:A500)+COUNTA('📅 Juin'!A4:A520)+COUNTA('📅 Juillet'!A4:A522)+COUNTA('📅 Août'!A4:A508)+COUNTA('📅 Septembre'!A6:A500)+COUNTA('📅 Octobre'!A4:A500)+COUNTA('📅 Novembre'!A4:A500)+COUNTA('📅 Décembre'!A4:A500))-(COUNTIF('📅 Janvier'!$E:$E,"*BMW*")+COUNTIF('📅 Janvier'!$E:$E,"*Mercedes*")+COUNTIF('📅 Janvier'!$E:$E,"*VW*")+COUNTIF('📅 Janvier'!$E:$E,"*Audi*")+COUNTIF('📅 Janvier'!$E:$E,"*Cupra*")+COUNTIF('📅 Février'!$E:$E,"*BMW*")+COUNTIF('📅 Février'!$E:$E,"*Mercedes*")+COUNTIF('📅 Février'!$E:$E,"*VW*")+COUNTIF('📅 Février'!$E:$E,"*Audi*")+COUNTIF('📅 Février'!$E:$E,"*Cupra*")+COUNTIF('📅 Mars'!$E:$E,"*BMW*")+COUNTIF('📅 Mars'!$E:$E,"*Mercedes*")+COUNTIF('📅 Mars'!$E:$E,"*VW*")+COUNTIF('📅 Mars'!$E:$E,"*Audi*")+COUNTIF('📅 Mars'!$E:$E,"*Cupra*")+COUNTIF('📅 Avril'!$E:$E,"*BMW*")+COUNTIF('📅 Avril'!$E:$E,"*Mercedes*")+COUNTIF('📅 Avril'!$E:$E,"*VW*")+COUNTIF('📅 Avril'!$E:$E,"*Audi*")+COUNTIF('📅 Avril'!$E:$E,"*Cupra*")+COUNTIF('📅 Mai'!$E:$E,"*BMW*")+COUNTIF('📅 Mai'!$E:$E,"*Mercedes*")+COUNTIF('📅 Mai'!$E:$E,"*VW*")+COUNTIF('📅 Mai'!$E:$E,"*Audi*")+COUNTIF('📅 Mai'!$E:$E,"*Cupra*")+COUNTIF('📅 Juin'!$E:$E,"*BMW*")+COUNTIF('📅 Juin'!$E:$E,"*Mercedes*")+COUNTIF('📅 Juin'!$E:$E,"*VW*")+COUNTIF('📅 Juin'!$E:$E,"*Audi*")+COUNTIF('📅 Juin'!$E:$E,"*Cupra*")+COUNTIF('📅 Juillet'!$E:$E,"*BMW*")+COUNTIF('📅 Juillet'!$E:$E,"*Mercedes*")+COUNTIF('📅 Juillet'!$E:$E,"*VW*")+COUNTIF('📅 Juillet'!$E:$E,"*Audi*")+COUNTIF('📅 Juillet'!$E:$E,"*Cupra*")+COUNTIF('📅 Août'!$E:$E,"*BMW*")+COUNTIF('📅 Août'!$E:$E,"*Mercedes*")+COUNTIF('📅 Août'!$E:$E,"*VW*")+COUNTIF('📅 Août'!$E:$E,"*Audi*")+COUNTIF('📅 Août'!$E:$E,"*Cupra*")+COUNTIF('📅 Septembre'!$E:$E,"*BMW*")+COUNTIF('📅 Septembre'!$E:$E,"*Mercedes*")+COUNTIF('📅 Septembre'!$E:$E,"*VW*")+COUNTIF('📅 Septembre'!$E:$E,"*Audi*")+COUNTIF('📅 Septembre'!$E:$E,"*Cupra*")+COUNTIF('📅 Octobre'!$E:$E,"*BMW*")+COUNTIF('📅 Octobre'!$E:$E,"*Mercedes*")+COUNTIF('📅 Octobre'!$E:$E,"*VW*")+COUNTIF('📅 Octobre'!$E:$E,"*Audi*")+COUNTIF('📅 Octobre'!$E:$E,"*Cupra*")+COUNTIF('📅 Novembre'!$E:$E,"*BMW*")+COUNTIF('📅 Novembre'!$E:$E,"*Mercedes*")+COUNTIF('📅 Novembre'!$E:$E,"*VW*")+COUNTIF('📅 Novembre'!$E:$E,"*Audi*")+COUNTIF('📅 Novembre'!$E:$E,"*Cupra*")+COUNTIF('📅 Décembre'!$E:$E,"*BMW*")+COUNTIF('📅 Décembre'!$E:$E,"*Mercedes*")+COUNTIF('📅 Décembre'!$E:$E,"*VW*")+COUNTIF('📅 Décembre'!$E:$E,"*Audi*")+COUNTIF('📅 Décembre'!$E:$E,"*Cupra*"))</f>
        <v>0</v>
      </c>
      <c r="D35" s="2"/>
      <c r="E35" s="2"/>
      <c r="F35" s="2"/>
      <c r="G35" s="2"/>
      <c r="H35" s="2"/>
      <c r="I35" s="2"/>
      <c r="J35" s="2"/>
      <c r="K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21.75" customHeight="1">
      <c r="A38" s="2"/>
      <c r="B38" s="29" t="s">
        <v>176</v>
      </c>
      <c r="C38" s="5"/>
      <c r="D38" s="5"/>
      <c r="E38" s="5"/>
      <c r="F38" s="5"/>
      <c r="G38" s="5"/>
      <c r="H38" s="5"/>
      <c r="I38" s="6"/>
      <c r="J38" s="2"/>
      <c r="K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H5:I5"/>
    <mergeCell ref="H6:I6"/>
    <mergeCell ref="G9:I9"/>
    <mergeCell ref="E6:F6"/>
    <mergeCell ref="E7:F7"/>
    <mergeCell ref="D9:F9"/>
    <mergeCell ref="E11:F11"/>
    <mergeCell ref="B7:C7"/>
    <mergeCell ref="B9:C9"/>
    <mergeCell ref="B11:C11"/>
    <mergeCell ref="B24:I24"/>
    <mergeCell ref="B28:C28"/>
    <mergeCell ref="B38:I38"/>
    <mergeCell ref="B1:I1"/>
    <mergeCell ref="B2:I2"/>
    <mergeCell ref="B3:I3"/>
    <mergeCell ref="B5:C5"/>
    <mergeCell ref="E5:F5"/>
    <mergeCell ref="B6:C6"/>
    <mergeCell ref="H7:I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114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147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151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178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179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4.14"/>
    <col customWidth="1" min="8" max="8" width="28.57"/>
    <col customWidth="1" min="9" max="9" width="18.0"/>
    <col customWidth="1" min="10" max="10" width="14.0"/>
    <col customWidth="1" min="11" max="11" width="22.0"/>
    <col customWidth="1" min="12" max="12" width="13.0"/>
    <col customWidth="1" min="13" max="13" width="94.57"/>
    <col customWidth="1" min="14" max="26" width="8.71"/>
  </cols>
  <sheetData>
    <row r="1" ht="33.75" customHeight="1">
      <c r="A1" s="15" t="s">
        <v>180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86" t="s">
        <v>181</v>
      </c>
      <c r="B4" s="87"/>
      <c r="C4" s="88" t="s">
        <v>19</v>
      </c>
      <c r="D4" s="87"/>
      <c r="E4" s="86" t="s">
        <v>182</v>
      </c>
      <c r="F4" s="86" t="s">
        <v>9</v>
      </c>
      <c r="G4" s="89"/>
      <c r="H4" s="86" t="s">
        <v>183</v>
      </c>
      <c r="I4" s="89"/>
      <c r="J4" s="90"/>
      <c r="K4" s="91" t="s">
        <v>5</v>
      </c>
      <c r="L4" s="87"/>
      <c r="M4" s="92"/>
    </row>
    <row r="5" ht="21.75" customHeight="1">
      <c r="A5" s="91" t="s">
        <v>184</v>
      </c>
      <c r="B5" s="93"/>
      <c r="C5" s="94" t="s">
        <v>19</v>
      </c>
      <c r="D5" s="93"/>
      <c r="E5" s="91" t="s">
        <v>185</v>
      </c>
      <c r="F5" s="91" t="s">
        <v>63</v>
      </c>
      <c r="G5" s="91" t="s">
        <v>186</v>
      </c>
      <c r="H5" s="95"/>
      <c r="I5" s="95"/>
      <c r="J5" s="96"/>
      <c r="K5" s="91" t="s">
        <v>5</v>
      </c>
      <c r="L5" s="93"/>
      <c r="M5" s="97"/>
    </row>
    <row r="6" ht="21.75" customHeight="1">
      <c r="A6" s="98" t="s">
        <v>187</v>
      </c>
      <c r="B6" s="99"/>
      <c r="C6" s="100" t="s">
        <v>12</v>
      </c>
      <c r="D6" s="99"/>
      <c r="E6" s="98" t="s">
        <v>188</v>
      </c>
      <c r="F6" s="98" t="s">
        <v>14</v>
      </c>
      <c r="G6" s="101"/>
      <c r="H6" s="98" t="s">
        <v>189</v>
      </c>
      <c r="I6" s="101"/>
      <c r="J6" s="102"/>
      <c r="K6" s="98" t="s">
        <v>5</v>
      </c>
      <c r="L6" s="99"/>
      <c r="M6" s="103"/>
    </row>
    <row r="7" ht="21.75" customHeight="1">
      <c r="A7" s="104" t="s">
        <v>190</v>
      </c>
      <c r="B7" s="105"/>
      <c r="C7" s="106" t="s">
        <v>12</v>
      </c>
      <c r="D7" s="105"/>
      <c r="E7" s="104" t="s">
        <v>191</v>
      </c>
      <c r="F7" s="104" t="s">
        <v>63</v>
      </c>
      <c r="G7" s="107"/>
      <c r="H7" s="104" t="s">
        <v>192</v>
      </c>
      <c r="I7" s="107"/>
      <c r="J7" s="108"/>
      <c r="K7" s="104" t="s">
        <v>5</v>
      </c>
      <c r="L7" s="105"/>
      <c r="M7" s="109" t="s">
        <v>193</v>
      </c>
    </row>
    <row r="8" ht="21.75" customHeight="1">
      <c r="A8" s="110" t="s">
        <v>194</v>
      </c>
      <c r="B8" s="111"/>
      <c r="C8" s="112" t="s">
        <v>19</v>
      </c>
      <c r="D8" s="111"/>
      <c r="E8" s="110" t="s">
        <v>62</v>
      </c>
      <c r="F8" s="110" t="s">
        <v>26</v>
      </c>
      <c r="G8" s="110" t="s">
        <v>195</v>
      </c>
      <c r="H8" s="111"/>
      <c r="I8" s="111"/>
      <c r="J8" s="113"/>
      <c r="K8" s="110" t="s">
        <v>5</v>
      </c>
      <c r="L8" s="111"/>
      <c r="M8" s="111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ht="21.75" customHeight="1">
      <c r="A9" s="115" t="s">
        <v>196</v>
      </c>
      <c r="B9" s="32"/>
      <c r="C9" s="116" t="s">
        <v>19</v>
      </c>
      <c r="D9" s="32"/>
      <c r="E9" s="115" t="s">
        <v>73</v>
      </c>
      <c r="F9" s="115" t="s">
        <v>63</v>
      </c>
      <c r="G9" s="115" t="s">
        <v>197</v>
      </c>
      <c r="H9" s="32"/>
      <c r="I9" s="32"/>
      <c r="J9" s="33"/>
      <c r="K9" s="115" t="s">
        <v>5</v>
      </c>
      <c r="L9" s="32"/>
      <c r="M9" s="32"/>
    </row>
    <row r="10" ht="21.75" customHeight="1">
      <c r="A10" s="110" t="s">
        <v>198</v>
      </c>
      <c r="B10" s="111"/>
      <c r="C10" s="112" t="s">
        <v>12</v>
      </c>
      <c r="D10" s="111"/>
      <c r="E10" s="110" t="s">
        <v>99</v>
      </c>
      <c r="F10" s="110" t="s">
        <v>63</v>
      </c>
      <c r="G10" s="111"/>
      <c r="H10" s="111"/>
      <c r="I10" s="111"/>
      <c r="J10" s="113"/>
      <c r="K10" s="110" t="s">
        <v>15</v>
      </c>
      <c r="L10" s="111"/>
      <c r="M10" s="111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ht="21.75" customHeight="1">
      <c r="A11" s="115" t="s">
        <v>199</v>
      </c>
      <c r="B11" s="32"/>
      <c r="C11" s="115" t="s">
        <v>12</v>
      </c>
      <c r="D11" s="32"/>
      <c r="E11" s="115" t="s">
        <v>100</v>
      </c>
      <c r="F11" s="115" t="s">
        <v>54</v>
      </c>
      <c r="G11" s="32"/>
      <c r="H11" s="32"/>
      <c r="I11" s="32"/>
      <c r="J11" s="33"/>
      <c r="K11" s="115" t="s">
        <v>15</v>
      </c>
      <c r="L11" s="32"/>
      <c r="M11" s="115" t="s">
        <v>200</v>
      </c>
    </row>
    <row r="12" ht="21.75" customHeight="1">
      <c r="A12" s="110" t="s">
        <v>201</v>
      </c>
      <c r="B12" s="111"/>
      <c r="C12" s="110" t="s">
        <v>19</v>
      </c>
      <c r="D12" s="111"/>
      <c r="E12" s="110" t="s">
        <v>202</v>
      </c>
      <c r="F12" s="110" t="s">
        <v>63</v>
      </c>
      <c r="G12" s="111"/>
      <c r="H12" s="111"/>
      <c r="I12" s="111"/>
      <c r="J12" s="113"/>
      <c r="K12" s="110" t="s">
        <v>5</v>
      </c>
      <c r="L12" s="111"/>
      <c r="M12" s="110" t="s">
        <v>203</v>
      </c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ht="21.75" customHeight="1">
      <c r="A13" s="115" t="s">
        <v>204</v>
      </c>
      <c r="B13" s="32"/>
      <c r="C13" s="115" t="s">
        <v>19</v>
      </c>
      <c r="D13" s="115" t="s">
        <v>84</v>
      </c>
      <c r="E13" s="115" t="s">
        <v>44</v>
      </c>
      <c r="F13" s="115" t="s">
        <v>9</v>
      </c>
      <c r="G13" s="115" t="s">
        <v>205</v>
      </c>
      <c r="H13" s="32"/>
      <c r="I13" s="32"/>
      <c r="J13" s="33"/>
      <c r="K13" s="115" t="s">
        <v>5</v>
      </c>
      <c r="L13" s="32"/>
      <c r="M13" s="110" t="s">
        <v>203</v>
      </c>
    </row>
    <row r="14" ht="21.75" customHeight="1">
      <c r="A14" s="117" t="s">
        <v>206</v>
      </c>
      <c r="B14" s="28"/>
      <c r="C14" s="117" t="s">
        <v>19</v>
      </c>
      <c r="D14" s="117" t="s">
        <v>77</v>
      </c>
      <c r="E14" s="117" t="s">
        <v>207</v>
      </c>
      <c r="F14" s="117" t="s">
        <v>63</v>
      </c>
      <c r="G14" s="28"/>
      <c r="H14" s="28"/>
      <c r="I14" s="28"/>
      <c r="J14" s="30"/>
      <c r="K14" s="117" t="s">
        <v>42</v>
      </c>
      <c r="L14" s="28"/>
      <c r="M14" s="28"/>
    </row>
    <row r="15" ht="21.75" customHeight="1">
      <c r="A15" s="115" t="s">
        <v>208</v>
      </c>
      <c r="B15" s="32"/>
      <c r="C15" s="115" t="s">
        <v>12</v>
      </c>
      <c r="D15" s="32"/>
      <c r="E15" s="32"/>
      <c r="F15" s="32"/>
      <c r="G15" s="32"/>
      <c r="H15" s="32"/>
      <c r="I15" s="32"/>
      <c r="J15" s="33"/>
      <c r="K15" s="115" t="s">
        <v>15</v>
      </c>
      <c r="L15" s="32"/>
      <c r="M15" s="32"/>
    </row>
    <row r="16" ht="21.75" customHeight="1">
      <c r="A16" s="117" t="s">
        <v>209</v>
      </c>
      <c r="B16" s="28"/>
      <c r="C16" s="117" t="s">
        <v>12</v>
      </c>
      <c r="D16" s="28"/>
      <c r="E16" s="117" t="s">
        <v>35</v>
      </c>
      <c r="F16" s="117" t="s">
        <v>63</v>
      </c>
      <c r="G16" s="28"/>
      <c r="H16" s="28"/>
      <c r="I16" s="28"/>
      <c r="J16" s="30"/>
      <c r="K16" s="117" t="s">
        <v>15</v>
      </c>
      <c r="L16" s="28"/>
      <c r="M16" s="28"/>
    </row>
    <row r="17" ht="21.75" customHeight="1">
      <c r="A17" s="115" t="s">
        <v>210</v>
      </c>
      <c r="B17" s="32"/>
      <c r="C17" s="115" t="s">
        <v>12</v>
      </c>
      <c r="D17" s="32"/>
      <c r="E17" s="115" t="s">
        <v>56</v>
      </c>
      <c r="F17" s="115" t="s">
        <v>14</v>
      </c>
      <c r="G17" s="115" t="s">
        <v>211</v>
      </c>
      <c r="H17" s="32"/>
      <c r="I17" s="32"/>
      <c r="J17" s="33"/>
      <c r="K17" s="115" t="s">
        <v>5</v>
      </c>
      <c r="L17" s="32"/>
      <c r="M17" s="32"/>
    </row>
    <row r="18" ht="21.75" customHeight="1">
      <c r="A18" s="117" t="s">
        <v>212</v>
      </c>
      <c r="B18" s="28"/>
      <c r="C18" s="117" t="s">
        <v>12</v>
      </c>
      <c r="D18" s="117" t="s">
        <v>84</v>
      </c>
      <c r="E18" s="117" t="s">
        <v>82</v>
      </c>
      <c r="F18" s="117" t="s">
        <v>57</v>
      </c>
      <c r="G18" s="28"/>
      <c r="H18" s="28"/>
      <c r="I18" s="28"/>
      <c r="J18" s="30"/>
      <c r="K18" s="117" t="s">
        <v>5</v>
      </c>
      <c r="L18" s="28"/>
      <c r="M18" s="117" t="s">
        <v>213</v>
      </c>
    </row>
    <row r="19" ht="21.75" customHeight="1">
      <c r="A19" s="115" t="s">
        <v>214</v>
      </c>
      <c r="B19" s="32"/>
      <c r="C19" s="115" t="s">
        <v>19</v>
      </c>
      <c r="D19" s="115" t="s">
        <v>70</v>
      </c>
      <c r="E19" s="115" t="s">
        <v>73</v>
      </c>
      <c r="F19" s="115" t="s">
        <v>63</v>
      </c>
      <c r="G19" s="115" t="s">
        <v>215</v>
      </c>
      <c r="H19" s="32"/>
      <c r="I19" s="32"/>
      <c r="J19" s="33"/>
      <c r="K19" s="115" t="s">
        <v>5</v>
      </c>
      <c r="L19" s="32"/>
      <c r="M19" s="32"/>
    </row>
    <row r="20" ht="21.75" customHeight="1">
      <c r="A20" s="117" t="s">
        <v>216</v>
      </c>
      <c r="B20" s="28"/>
      <c r="C20" s="117" t="s">
        <v>12</v>
      </c>
      <c r="D20" s="28"/>
      <c r="E20" s="117" t="s">
        <v>217</v>
      </c>
      <c r="F20" s="117" t="s">
        <v>21</v>
      </c>
      <c r="G20" s="28"/>
      <c r="H20" s="28"/>
      <c r="I20" s="28"/>
      <c r="J20" s="30"/>
      <c r="K20" s="117" t="s">
        <v>15</v>
      </c>
      <c r="L20" s="28"/>
      <c r="M20" s="117" t="s">
        <v>218</v>
      </c>
    </row>
    <row r="21" ht="21.75" customHeight="1">
      <c r="A21" s="115" t="s">
        <v>219</v>
      </c>
      <c r="B21" s="32"/>
      <c r="C21" s="115" t="s">
        <v>12</v>
      </c>
      <c r="D21" s="32"/>
      <c r="E21" s="115" t="s">
        <v>107</v>
      </c>
      <c r="F21" s="115" t="s">
        <v>63</v>
      </c>
      <c r="G21" s="32"/>
      <c r="H21" s="32"/>
      <c r="I21" s="32"/>
      <c r="J21" s="33"/>
      <c r="K21" s="115" t="s">
        <v>42</v>
      </c>
      <c r="L21" s="32"/>
      <c r="M21" s="32"/>
    </row>
    <row r="22" ht="21.75" customHeight="1">
      <c r="A22" s="117" t="s">
        <v>220</v>
      </c>
      <c r="B22" s="28"/>
      <c r="C22" s="117" t="s">
        <v>19</v>
      </c>
      <c r="D22" s="28"/>
      <c r="E22" s="117" t="s">
        <v>69</v>
      </c>
      <c r="F22" s="117" t="s">
        <v>63</v>
      </c>
      <c r="G22" s="117" t="s">
        <v>221</v>
      </c>
      <c r="H22" s="28"/>
      <c r="I22" s="28"/>
      <c r="J22" s="30"/>
      <c r="K22" s="117" t="s">
        <v>5</v>
      </c>
      <c r="L22" s="28"/>
      <c r="M22" s="28"/>
    </row>
    <row r="23" ht="21.75" customHeight="1">
      <c r="A23" s="115" t="s">
        <v>222</v>
      </c>
      <c r="B23" s="32"/>
      <c r="C23" s="115" t="s">
        <v>19</v>
      </c>
      <c r="D23" s="32"/>
      <c r="E23" s="115" t="s">
        <v>107</v>
      </c>
      <c r="F23" s="115" t="s">
        <v>39</v>
      </c>
      <c r="G23" s="32"/>
      <c r="H23" s="32"/>
      <c r="I23" s="32"/>
      <c r="J23" s="33"/>
      <c r="K23" s="115" t="s">
        <v>42</v>
      </c>
      <c r="L23" s="32"/>
      <c r="M23" s="32"/>
    </row>
    <row r="24" ht="21.75" customHeight="1">
      <c r="A24" s="117" t="s">
        <v>223</v>
      </c>
      <c r="B24" s="28"/>
      <c r="C24" s="117" t="s">
        <v>19</v>
      </c>
      <c r="D24" s="28"/>
      <c r="E24" s="117" t="s">
        <v>93</v>
      </c>
      <c r="F24" s="117" t="s">
        <v>14</v>
      </c>
      <c r="G24" s="28"/>
      <c r="H24" s="117" t="s">
        <v>224</v>
      </c>
      <c r="I24" s="28"/>
      <c r="J24" s="30"/>
      <c r="K24" s="117" t="s">
        <v>42</v>
      </c>
      <c r="L24" s="28"/>
      <c r="M24" s="28"/>
    </row>
    <row r="25" ht="21.75" customHeight="1">
      <c r="A25" s="115" t="s">
        <v>225</v>
      </c>
      <c r="B25" s="32"/>
      <c r="C25" s="115" t="s">
        <v>19</v>
      </c>
      <c r="D25" s="115" t="s">
        <v>28</v>
      </c>
      <c r="E25" s="115" t="s">
        <v>76</v>
      </c>
      <c r="F25" s="115" t="s">
        <v>63</v>
      </c>
      <c r="G25" s="115" t="s">
        <v>226</v>
      </c>
      <c r="H25" s="32"/>
      <c r="I25" s="32"/>
      <c r="J25" s="33"/>
      <c r="K25" s="115" t="s">
        <v>5</v>
      </c>
      <c r="L25" s="32"/>
      <c r="M25" s="32"/>
    </row>
    <row r="26" ht="21.75" customHeight="1">
      <c r="A26" s="117" t="s">
        <v>227</v>
      </c>
      <c r="B26" s="28"/>
      <c r="C26" s="117" t="s">
        <v>19</v>
      </c>
      <c r="D26" s="117" t="s">
        <v>228</v>
      </c>
      <c r="E26" s="117" t="s">
        <v>229</v>
      </c>
      <c r="F26" s="115" t="s">
        <v>63</v>
      </c>
      <c r="G26" s="28"/>
      <c r="H26" s="28"/>
      <c r="I26" s="28"/>
      <c r="J26" s="30"/>
      <c r="K26" s="117" t="s">
        <v>5</v>
      </c>
      <c r="L26" s="28"/>
      <c r="M26" s="28"/>
    </row>
    <row r="27" ht="21.75" customHeight="1">
      <c r="A27" s="115" t="s">
        <v>230</v>
      </c>
      <c r="B27" s="32"/>
      <c r="C27" s="115" t="s">
        <v>19</v>
      </c>
      <c r="D27" s="32"/>
      <c r="E27" s="115" t="s">
        <v>73</v>
      </c>
      <c r="F27" s="115" t="s">
        <v>63</v>
      </c>
      <c r="G27" s="115" t="s">
        <v>231</v>
      </c>
      <c r="H27" s="32"/>
      <c r="I27" s="32"/>
      <c r="J27" s="33"/>
      <c r="K27" s="115" t="s">
        <v>5</v>
      </c>
      <c r="L27" s="32"/>
      <c r="M27" s="115" t="s">
        <v>232</v>
      </c>
    </row>
    <row r="28" ht="21.75" customHeight="1">
      <c r="A28" s="117" t="s">
        <v>233</v>
      </c>
      <c r="B28" s="28"/>
      <c r="C28" s="117" t="s">
        <v>19</v>
      </c>
      <c r="D28" s="28"/>
      <c r="E28" s="117" t="s">
        <v>73</v>
      </c>
      <c r="F28" s="117" t="s">
        <v>63</v>
      </c>
      <c r="G28" s="28"/>
      <c r="H28" s="28"/>
      <c r="I28" s="28"/>
      <c r="J28" s="30"/>
      <c r="K28" s="117" t="s">
        <v>15</v>
      </c>
      <c r="L28" s="28"/>
      <c r="M28" s="28"/>
    </row>
    <row r="29" ht="21.75" customHeight="1">
      <c r="A29" s="115" t="s">
        <v>234</v>
      </c>
      <c r="B29" s="32"/>
      <c r="C29" s="115" t="s">
        <v>19</v>
      </c>
      <c r="D29" s="32"/>
      <c r="E29" s="115" t="s">
        <v>56</v>
      </c>
      <c r="F29" s="115" t="s">
        <v>14</v>
      </c>
      <c r="G29" s="115" t="s">
        <v>235</v>
      </c>
      <c r="H29" s="32"/>
      <c r="I29" s="32"/>
      <c r="J29" s="33"/>
      <c r="K29" s="115" t="s">
        <v>5</v>
      </c>
      <c r="L29" s="32"/>
      <c r="M29" s="32"/>
    </row>
    <row r="30" ht="21.75" customHeight="1">
      <c r="A30" s="117" t="s">
        <v>236</v>
      </c>
      <c r="B30" s="28"/>
      <c r="C30" s="117" t="s">
        <v>19</v>
      </c>
      <c r="D30" s="28"/>
      <c r="E30" s="115" t="s">
        <v>56</v>
      </c>
      <c r="F30" s="117" t="s">
        <v>63</v>
      </c>
      <c r="G30" s="28"/>
      <c r="H30" s="28"/>
      <c r="I30" s="28"/>
      <c r="J30" s="30"/>
      <c r="K30" s="117" t="s">
        <v>15</v>
      </c>
      <c r="L30" s="28"/>
      <c r="M30" s="28"/>
    </row>
    <row r="31" ht="21.75" customHeight="1">
      <c r="A31" s="115" t="s">
        <v>237</v>
      </c>
      <c r="B31" s="32"/>
      <c r="C31" s="115" t="s">
        <v>19</v>
      </c>
      <c r="D31" s="32"/>
      <c r="E31" s="115" t="s">
        <v>35</v>
      </c>
      <c r="F31" s="115" t="s">
        <v>14</v>
      </c>
      <c r="G31" s="115" t="s">
        <v>238</v>
      </c>
      <c r="H31" s="32"/>
      <c r="I31" s="32"/>
      <c r="J31" s="33"/>
      <c r="K31" s="115" t="s">
        <v>5</v>
      </c>
      <c r="L31" s="32"/>
      <c r="M31" s="32"/>
    </row>
    <row r="32" ht="21.75" customHeight="1">
      <c r="A32" s="117" t="s">
        <v>239</v>
      </c>
      <c r="B32" s="28"/>
      <c r="C32" s="117" t="s">
        <v>19</v>
      </c>
      <c r="D32" s="28"/>
      <c r="E32" s="117" t="s">
        <v>76</v>
      </c>
      <c r="F32" s="117" t="s">
        <v>9</v>
      </c>
      <c r="G32" s="28"/>
      <c r="H32" s="28"/>
      <c r="I32" s="28"/>
      <c r="J32" s="30"/>
      <c r="K32" s="117" t="s">
        <v>15</v>
      </c>
      <c r="L32" s="28"/>
      <c r="M32" s="28"/>
    </row>
    <row r="33" ht="21.75" customHeight="1">
      <c r="A33" s="115" t="s">
        <v>240</v>
      </c>
      <c r="B33" s="32"/>
      <c r="C33" s="115" t="s">
        <v>19</v>
      </c>
      <c r="D33" s="32"/>
      <c r="E33" s="115" t="s">
        <v>73</v>
      </c>
      <c r="F33" s="115" t="s">
        <v>39</v>
      </c>
      <c r="G33" s="32"/>
      <c r="H33" s="32"/>
      <c r="I33" s="32"/>
      <c r="J33" s="33"/>
      <c r="K33" s="115" t="s">
        <v>15</v>
      </c>
      <c r="L33" s="32"/>
      <c r="M33" s="32"/>
    </row>
    <row r="34" ht="21.75" customHeight="1">
      <c r="A34" s="117" t="s">
        <v>241</v>
      </c>
      <c r="B34" s="117">
        <v>2.384409E7</v>
      </c>
      <c r="C34" s="117" t="s">
        <v>19</v>
      </c>
      <c r="D34" s="28"/>
      <c r="E34" s="117" t="s">
        <v>69</v>
      </c>
      <c r="F34" s="117" t="s">
        <v>14</v>
      </c>
      <c r="G34" s="117" t="s">
        <v>242</v>
      </c>
      <c r="H34" s="28"/>
      <c r="I34" s="28"/>
      <c r="J34" s="30"/>
      <c r="K34" s="117" t="s">
        <v>22</v>
      </c>
      <c r="L34" s="28"/>
      <c r="M34" s="117" t="s">
        <v>243</v>
      </c>
      <c r="N34" s="118"/>
    </row>
    <row r="35" ht="21.75" customHeight="1">
      <c r="A35" s="115" t="s">
        <v>244</v>
      </c>
      <c r="B35" s="32"/>
      <c r="C35" s="115" t="s">
        <v>19</v>
      </c>
      <c r="D35" s="32"/>
      <c r="E35" s="115" t="s">
        <v>56</v>
      </c>
      <c r="F35" s="115" t="s">
        <v>54</v>
      </c>
      <c r="G35" s="115" t="s">
        <v>245</v>
      </c>
      <c r="H35" s="32"/>
      <c r="I35" s="32"/>
      <c r="J35" s="33"/>
      <c r="K35" s="115" t="s">
        <v>5</v>
      </c>
      <c r="L35" s="32"/>
      <c r="M35" s="32"/>
    </row>
    <row r="36" ht="21.75" customHeight="1">
      <c r="A36" s="117" t="s">
        <v>246</v>
      </c>
      <c r="B36" s="28"/>
      <c r="C36" s="117" t="s">
        <v>12</v>
      </c>
      <c r="D36" s="28"/>
      <c r="E36" s="117" t="s">
        <v>30</v>
      </c>
      <c r="F36" s="28"/>
      <c r="G36" s="117" t="s">
        <v>247</v>
      </c>
      <c r="H36" s="28"/>
      <c r="I36" s="28"/>
      <c r="J36" s="30"/>
      <c r="K36" s="117" t="s">
        <v>5</v>
      </c>
      <c r="L36" s="28"/>
      <c r="M36" s="28"/>
    </row>
    <row r="37" ht="21.75" customHeight="1">
      <c r="A37" s="115" t="s">
        <v>248</v>
      </c>
      <c r="B37" s="115">
        <v>5.6134353E7</v>
      </c>
      <c r="C37" s="115" t="s">
        <v>19</v>
      </c>
      <c r="D37" s="115" t="s">
        <v>66</v>
      </c>
      <c r="E37" s="115" t="s">
        <v>62</v>
      </c>
      <c r="F37" s="115" t="s">
        <v>63</v>
      </c>
      <c r="G37" s="115" t="s">
        <v>249</v>
      </c>
      <c r="H37" s="32"/>
      <c r="I37" s="32"/>
      <c r="J37" s="33"/>
      <c r="K37" s="115" t="s">
        <v>5</v>
      </c>
      <c r="L37" s="32"/>
      <c r="M37" s="115" t="s">
        <v>250</v>
      </c>
    </row>
    <row r="38" ht="21.75" customHeight="1">
      <c r="A38" s="117" t="s">
        <v>251</v>
      </c>
      <c r="B38" s="117">
        <v>9.3974881E7</v>
      </c>
      <c r="C38" s="117" t="s">
        <v>19</v>
      </c>
      <c r="D38" s="117" t="s">
        <v>17</v>
      </c>
      <c r="E38" s="117" t="s">
        <v>62</v>
      </c>
      <c r="F38" s="117" t="s">
        <v>63</v>
      </c>
      <c r="G38" s="117" t="s">
        <v>252</v>
      </c>
      <c r="H38" s="28"/>
      <c r="I38" s="28"/>
      <c r="J38" s="30"/>
      <c r="K38" s="117" t="s">
        <v>22</v>
      </c>
      <c r="L38" s="28"/>
      <c r="M38" s="117" t="s">
        <v>253</v>
      </c>
      <c r="N38" s="118"/>
    </row>
    <row r="39" ht="21.75" customHeight="1">
      <c r="A39" s="115" t="s">
        <v>254</v>
      </c>
      <c r="B39" s="32"/>
      <c r="C39" s="115" t="s">
        <v>12</v>
      </c>
      <c r="D39" s="32"/>
      <c r="E39" s="115" t="s">
        <v>99</v>
      </c>
      <c r="F39" s="115" t="s">
        <v>14</v>
      </c>
      <c r="G39" s="32"/>
      <c r="H39" s="32"/>
      <c r="I39" s="32"/>
      <c r="J39" s="33"/>
      <c r="K39" s="115" t="s">
        <v>15</v>
      </c>
      <c r="L39" s="32"/>
      <c r="M39" s="32"/>
    </row>
    <row r="40" ht="21.75" customHeight="1">
      <c r="A40" s="117" t="s">
        <v>255</v>
      </c>
      <c r="B40" s="28"/>
      <c r="C40" s="117" t="s">
        <v>12</v>
      </c>
      <c r="D40" s="28"/>
      <c r="E40" s="117" t="s">
        <v>56</v>
      </c>
      <c r="F40" s="117" t="s">
        <v>14</v>
      </c>
      <c r="G40" s="117" t="s">
        <v>256</v>
      </c>
      <c r="H40" s="28"/>
      <c r="I40" s="28"/>
      <c r="J40" s="30"/>
      <c r="K40" s="117" t="s">
        <v>5</v>
      </c>
      <c r="L40" s="28"/>
      <c r="M40" s="28"/>
    </row>
    <row r="41" ht="21.75" customHeight="1">
      <c r="A41" s="115" t="s">
        <v>257</v>
      </c>
      <c r="B41" s="32"/>
      <c r="C41" s="115" t="s">
        <v>19</v>
      </c>
      <c r="D41" s="32"/>
      <c r="E41" s="115" t="s">
        <v>107</v>
      </c>
      <c r="F41" s="32"/>
      <c r="G41" s="32"/>
      <c r="H41" s="32"/>
      <c r="I41" s="32"/>
      <c r="J41" s="33"/>
      <c r="K41" s="115" t="s">
        <v>42</v>
      </c>
      <c r="L41" s="32"/>
      <c r="M41" s="32"/>
    </row>
    <row r="42" ht="21.75" customHeight="1">
      <c r="A42" s="117" t="s">
        <v>258</v>
      </c>
      <c r="B42" s="28"/>
      <c r="C42" s="117" t="s">
        <v>19</v>
      </c>
      <c r="D42" s="28"/>
      <c r="E42" s="117" t="s">
        <v>40</v>
      </c>
      <c r="F42" s="117" t="s">
        <v>259</v>
      </c>
      <c r="G42" s="28"/>
      <c r="H42" s="28"/>
      <c r="I42" s="28"/>
      <c r="J42" s="30"/>
      <c r="K42" s="117" t="s">
        <v>5</v>
      </c>
      <c r="L42" s="28"/>
      <c r="M42" s="28"/>
    </row>
    <row r="43" ht="21.75" customHeight="1">
      <c r="A43" s="115" t="s">
        <v>260</v>
      </c>
      <c r="B43" s="32"/>
      <c r="C43" s="115" t="s">
        <v>12</v>
      </c>
      <c r="D43" s="32"/>
      <c r="E43" s="115" t="s">
        <v>76</v>
      </c>
      <c r="F43" s="115" t="s">
        <v>63</v>
      </c>
      <c r="G43" s="115" t="s">
        <v>261</v>
      </c>
      <c r="H43" s="32"/>
      <c r="I43" s="32"/>
      <c r="J43" s="33"/>
      <c r="K43" s="115" t="s">
        <v>5</v>
      </c>
      <c r="L43" s="32"/>
      <c r="M43" s="32"/>
    </row>
    <row r="44" ht="21.75" customHeight="1">
      <c r="A44" s="117" t="s">
        <v>262</v>
      </c>
      <c r="B44" s="28"/>
      <c r="C44" s="117" t="s">
        <v>12</v>
      </c>
      <c r="D44" s="28"/>
      <c r="E44" s="117" t="s">
        <v>69</v>
      </c>
      <c r="F44" s="28"/>
      <c r="G44" s="28"/>
      <c r="H44" s="28"/>
      <c r="I44" s="28"/>
      <c r="J44" s="30"/>
      <c r="K44" s="117" t="s">
        <v>15</v>
      </c>
      <c r="L44" s="28"/>
      <c r="M44" s="28"/>
    </row>
    <row r="45" ht="21.75" customHeight="1">
      <c r="A45" s="115" t="s">
        <v>263</v>
      </c>
      <c r="B45" s="32"/>
      <c r="C45" s="115" t="s">
        <v>12</v>
      </c>
      <c r="D45" s="115" t="s">
        <v>75</v>
      </c>
      <c r="E45" s="115" t="s">
        <v>62</v>
      </c>
      <c r="F45" s="115" t="s">
        <v>9</v>
      </c>
      <c r="G45" s="32"/>
      <c r="H45" s="32"/>
      <c r="I45" s="32"/>
      <c r="J45" s="33"/>
      <c r="K45" s="115" t="s">
        <v>15</v>
      </c>
      <c r="L45" s="32"/>
      <c r="M45" s="115" t="s">
        <v>264</v>
      </c>
    </row>
    <row r="46" ht="21.75" customHeight="1">
      <c r="A46" s="117" t="s">
        <v>265</v>
      </c>
      <c r="B46" s="28"/>
      <c r="C46" s="117" t="s">
        <v>19</v>
      </c>
      <c r="D46" s="28"/>
      <c r="E46" s="28"/>
      <c r="F46" s="28"/>
      <c r="G46" s="28"/>
      <c r="H46" s="28"/>
      <c r="I46" s="28"/>
      <c r="J46" s="30"/>
      <c r="K46" s="117" t="s">
        <v>15</v>
      </c>
      <c r="L46" s="28"/>
      <c r="M46" s="28"/>
    </row>
    <row r="47" ht="21.75" customHeight="1">
      <c r="A47" s="115" t="s">
        <v>266</v>
      </c>
      <c r="B47" s="32"/>
      <c r="C47" s="115" t="s">
        <v>19</v>
      </c>
      <c r="D47" s="32"/>
      <c r="E47" s="115" t="s">
        <v>93</v>
      </c>
      <c r="F47" s="32"/>
      <c r="G47" s="32"/>
      <c r="H47" s="32"/>
      <c r="I47" s="32"/>
      <c r="J47" s="33"/>
      <c r="K47" s="115" t="s">
        <v>15</v>
      </c>
      <c r="L47" s="32"/>
      <c r="M47" s="32"/>
    </row>
    <row r="48" ht="21.75" customHeight="1">
      <c r="A48" s="117" t="s">
        <v>199</v>
      </c>
      <c r="B48" s="28"/>
      <c r="C48" s="117" t="s">
        <v>12</v>
      </c>
      <c r="D48" s="28"/>
      <c r="E48" s="117" t="s">
        <v>101</v>
      </c>
      <c r="F48" s="117" t="s">
        <v>39</v>
      </c>
      <c r="G48" s="28"/>
      <c r="H48" s="28"/>
      <c r="I48" s="28"/>
      <c r="J48" s="30"/>
      <c r="K48" s="117" t="s">
        <v>42</v>
      </c>
      <c r="L48" s="28"/>
      <c r="M48" s="28"/>
    </row>
    <row r="49" ht="21.75" customHeight="1">
      <c r="A49" s="115" t="s">
        <v>268</v>
      </c>
      <c r="B49" s="32"/>
      <c r="C49" s="115" t="s">
        <v>12</v>
      </c>
      <c r="D49" s="32"/>
      <c r="E49" s="115" t="s">
        <v>25</v>
      </c>
      <c r="F49" s="115" t="s">
        <v>14</v>
      </c>
      <c r="G49" s="32"/>
      <c r="H49" s="32"/>
      <c r="I49" s="32"/>
      <c r="J49" s="33"/>
      <c r="K49" s="115" t="s">
        <v>22</v>
      </c>
      <c r="L49" s="32"/>
      <c r="M49" s="115" t="s">
        <v>269</v>
      </c>
      <c r="N49" s="118"/>
    </row>
    <row r="50" ht="21.75" customHeight="1">
      <c r="A50" s="117" t="s">
        <v>270</v>
      </c>
      <c r="B50" s="28"/>
      <c r="C50" s="117" t="s">
        <v>12</v>
      </c>
      <c r="D50" s="28"/>
      <c r="E50" s="117" t="s">
        <v>93</v>
      </c>
      <c r="F50" s="117" t="s">
        <v>14</v>
      </c>
      <c r="G50" s="28"/>
      <c r="H50" s="28"/>
      <c r="I50" s="28"/>
      <c r="J50" s="30"/>
      <c r="K50" s="117" t="s">
        <v>5</v>
      </c>
      <c r="L50" s="28"/>
      <c r="M50" s="28"/>
    </row>
    <row r="51" ht="21.75" customHeight="1">
      <c r="A51" s="115" t="s">
        <v>271</v>
      </c>
      <c r="B51" s="32"/>
      <c r="C51" s="115" t="s">
        <v>12</v>
      </c>
      <c r="D51" s="32"/>
      <c r="E51" s="115" t="s">
        <v>44</v>
      </c>
      <c r="F51" s="115" t="s">
        <v>54</v>
      </c>
      <c r="G51" s="32"/>
      <c r="H51" s="32"/>
      <c r="I51" s="32"/>
      <c r="J51" s="33"/>
      <c r="K51" s="115" t="s">
        <v>5</v>
      </c>
      <c r="L51" s="32"/>
      <c r="M51" s="115" t="s">
        <v>272</v>
      </c>
    </row>
    <row r="52" ht="21.75" customHeight="1">
      <c r="A52" s="117" t="s">
        <v>273</v>
      </c>
      <c r="B52" s="117">
        <v>5.433181E7</v>
      </c>
      <c r="C52" s="117" t="s">
        <v>19</v>
      </c>
      <c r="D52" s="117" t="s">
        <v>43</v>
      </c>
      <c r="E52" s="117" t="s">
        <v>100</v>
      </c>
      <c r="F52" s="117" t="s">
        <v>14</v>
      </c>
      <c r="G52" s="28"/>
      <c r="H52" s="28"/>
      <c r="I52" s="28"/>
      <c r="J52" s="30"/>
      <c r="K52" s="117" t="s">
        <v>22</v>
      </c>
      <c r="L52" s="28"/>
      <c r="M52" s="117" t="s">
        <v>274</v>
      </c>
      <c r="N52" s="119" t="s">
        <v>275</v>
      </c>
    </row>
    <row r="53" ht="21.75" customHeight="1">
      <c r="A53" s="115" t="s">
        <v>276</v>
      </c>
      <c r="B53" s="115" t="s">
        <v>277</v>
      </c>
      <c r="C53" s="32"/>
      <c r="D53" s="115" t="s">
        <v>66</v>
      </c>
      <c r="E53" s="115" t="s">
        <v>59</v>
      </c>
      <c r="F53" s="115" t="s">
        <v>9</v>
      </c>
      <c r="G53" s="115" t="s">
        <v>278</v>
      </c>
      <c r="H53" s="32"/>
      <c r="I53" s="32"/>
      <c r="J53" s="33"/>
      <c r="K53" s="115" t="s">
        <v>22</v>
      </c>
      <c r="L53" s="32"/>
      <c r="M53" s="115" t="s">
        <v>279</v>
      </c>
      <c r="N53" s="119" t="s">
        <v>280</v>
      </c>
    </row>
    <row r="54" ht="21.75" customHeight="1">
      <c r="A54" s="117" t="s">
        <v>281</v>
      </c>
      <c r="B54" s="28"/>
      <c r="C54" s="28"/>
      <c r="D54" s="28"/>
      <c r="E54" s="117" t="s">
        <v>65</v>
      </c>
      <c r="F54" s="117" t="s">
        <v>63</v>
      </c>
      <c r="G54" s="117" t="s">
        <v>282</v>
      </c>
      <c r="H54" s="28"/>
      <c r="I54" s="28"/>
      <c r="J54" s="30"/>
      <c r="K54" s="117" t="s">
        <v>5</v>
      </c>
      <c r="L54" s="28"/>
      <c r="M54" s="28"/>
    </row>
    <row r="55" ht="21.75" customHeight="1">
      <c r="A55" s="115" t="s">
        <v>283</v>
      </c>
      <c r="B55" s="115">
        <v>5.4934307E7</v>
      </c>
      <c r="C55" s="115" t="s">
        <v>19</v>
      </c>
      <c r="D55" s="32"/>
      <c r="E55" s="115" t="s">
        <v>284</v>
      </c>
      <c r="F55" s="115" t="s">
        <v>285</v>
      </c>
      <c r="G55" s="32"/>
      <c r="H55" s="115" t="s">
        <v>286</v>
      </c>
      <c r="I55" s="32"/>
      <c r="J55" s="33"/>
      <c r="K55" s="115" t="s">
        <v>22</v>
      </c>
      <c r="L55" s="32"/>
      <c r="M55" s="115" t="s">
        <v>287</v>
      </c>
      <c r="N55" s="119" t="s">
        <v>280</v>
      </c>
    </row>
    <row r="56" ht="21.75" customHeight="1">
      <c r="A56" s="117" t="s">
        <v>288</v>
      </c>
      <c r="B56" s="28"/>
      <c r="C56" s="117" t="s">
        <v>19</v>
      </c>
      <c r="D56" s="117" t="s">
        <v>61</v>
      </c>
      <c r="E56" s="117" t="s">
        <v>44</v>
      </c>
      <c r="F56" s="117" t="s">
        <v>54</v>
      </c>
      <c r="G56" s="28"/>
      <c r="H56" s="28"/>
      <c r="I56" s="28"/>
      <c r="J56" s="30"/>
      <c r="K56" s="117" t="s">
        <v>5</v>
      </c>
      <c r="L56" s="28"/>
      <c r="M56" s="28"/>
    </row>
    <row r="57" ht="21.75" customHeight="1">
      <c r="A57" s="115" t="s">
        <v>291</v>
      </c>
      <c r="B57" s="32"/>
      <c r="C57" s="115" t="s">
        <v>19</v>
      </c>
      <c r="D57" s="115" t="s">
        <v>66</v>
      </c>
      <c r="E57" s="115" t="s">
        <v>62</v>
      </c>
      <c r="F57" s="115" t="s">
        <v>9</v>
      </c>
      <c r="G57" s="115" t="s">
        <v>292</v>
      </c>
      <c r="H57" s="32"/>
      <c r="I57" s="32"/>
      <c r="J57" s="33"/>
      <c r="K57" s="115" t="s">
        <v>5</v>
      </c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32"/>
      <c r="B70" s="32"/>
      <c r="C70" s="32"/>
      <c r="D70" s="32"/>
      <c r="E70" s="32"/>
      <c r="F70" s="32"/>
      <c r="G70" s="32"/>
      <c r="H70" s="32"/>
      <c r="I70" s="32"/>
      <c r="J70" s="33"/>
      <c r="K70" s="32"/>
      <c r="L70" s="32"/>
      <c r="M70" s="32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2"/>
      <c r="L72" s="32"/>
      <c r="M72" s="32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32"/>
      <c r="B74" s="32"/>
      <c r="C74" s="32"/>
      <c r="D74" s="32"/>
      <c r="E74" s="32"/>
      <c r="F74" s="32"/>
      <c r="G74" s="32"/>
      <c r="H74" s="32"/>
      <c r="I74" s="32"/>
      <c r="J74" s="33"/>
      <c r="K74" s="32"/>
      <c r="L74" s="32"/>
      <c r="M74" s="32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32"/>
      <c r="B76" s="32"/>
      <c r="C76" s="32"/>
      <c r="D76" s="32"/>
      <c r="E76" s="32"/>
      <c r="F76" s="32"/>
      <c r="G76" s="32"/>
      <c r="H76" s="32"/>
      <c r="I76" s="32"/>
      <c r="J76" s="33"/>
      <c r="K76" s="32"/>
      <c r="L76" s="32"/>
      <c r="M76" s="32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32"/>
      <c r="B78" s="32"/>
      <c r="C78" s="32"/>
      <c r="D78" s="32"/>
      <c r="E78" s="32"/>
      <c r="F78" s="32"/>
      <c r="G78" s="32"/>
      <c r="H78" s="32"/>
      <c r="I78" s="32"/>
      <c r="J78" s="33"/>
      <c r="K78" s="32"/>
      <c r="L78" s="32"/>
      <c r="M78" s="32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32"/>
      <c r="B80" s="32"/>
      <c r="C80" s="32"/>
      <c r="D80" s="32"/>
      <c r="E80" s="32"/>
      <c r="F80" s="32"/>
      <c r="G80" s="32"/>
      <c r="H80" s="32"/>
      <c r="I80" s="32"/>
      <c r="J80" s="33"/>
      <c r="K80" s="32"/>
      <c r="L80" s="32"/>
      <c r="M80" s="32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2"/>
      <c r="L82" s="32"/>
      <c r="M82" s="32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32"/>
      <c r="B84" s="32"/>
      <c r="C84" s="32"/>
      <c r="D84" s="32"/>
      <c r="E84" s="32"/>
      <c r="F84" s="32"/>
      <c r="G84" s="32"/>
      <c r="H84" s="32"/>
      <c r="I84" s="32"/>
      <c r="J84" s="33"/>
      <c r="K84" s="32"/>
      <c r="L84" s="32"/>
      <c r="M84" s="32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32"/>
      <c r="B86" s="32"/>
      <c r="C86" s="32"/>
      <c r="D86" s="32"/>
      <c r="E86" s="32"/>
      <c r="F86" s="32"/>
      <c r="G86" s="32"/>
      <c r="H86" s="32"/>
      <c r="I86" s="32"/>
      <c r="J86" s="33"/>
      <c r="K86" s="32"/>
      <c r="L86" s="32"/>
      <c r="M86" s="32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32"/>
      <c r="B88" s="32"/>
      <c r="C88" s="32"/>
      <c r="D88" s="32"/>
      <c r="E88" s="32"/>
      <c r="F88" s="32"/>
      <c r="G88" s="32"/>
      <c r="H88" s="32"/>
      <c r="I88" s="32"/>
      <c r="J88" s="33"/>
      <c r="K88" s="32"/>
      <c r="L88" s="32"/>
      <c r="M88" s="32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117"/>
      <c r="B90" s="28"/>
      <c r="C90" s="117"/>
      <c r="D90" s="117"/>
      <c r="E90" s="117"/>
      <c r="F90" s="117"/>
      <c r="G90" s="28"/>
      <c r="H90" s="28"/>
      <c r="I90" s="28"/>
      <c r="J90" s="30"/>
      <c r="K90" s="117"/>
      <c r="L90" s="28"/>
      <c r="M90" s="117"/>
    </row>
    <row r="91" ht="21.75" customHeight="1">
      <c r="A91" s="115"/>
      <c r="B91" s="32"/>
      <c r="C91" s="115"/>
      <c r="D91" s="115"/>
      <c r="E91" s="115"/>
      <c r="F91" s="115"/>
      <c r="G91" s="115"/>
      <c r="H91" s="32"/>
      <c r="I91" s="32"/>
      <c r="J91" s="33"/>
      <c r="K91" s="115"/>
      <c r="L91" s="32"/>
      <c r="M91" s="115"/>
    </row>
    <row r="92" ht="21.75" customHeight="1">
      <c r="A92" s="117"/>
      <c r="B92" s="28"/>
      <c r="C92" s="117"/>
      <c r="D92" s="28"/>
      <c r="E92" s="117"/>
      <c r="F92" s="117"/>
      <c r="G92" s="117"/>
      <c r="H92" s="28"/>
      <c r="I92" s="28"/>
      <c r="J92" s="30"/>
      <c r="K92" s="117"/>
      <c r="L92" s="28"/>
      <c r="M92" s="115"/>
    </row>
    <row r="93" ht="21.75" customHeight="1">
      <c r="A93" s="115"/>
      <c r="B93" s="32"/>
      <c r="C93" s="115"/>
      <c r="D93" s="32"/>
      <c r="E93" s="115"/>
      <c r="F93" s="115"/>
      <c r="G93" s="115"/>
      <c r="H93" s="32"/>
      <c r="I93" s="32"/>
      <c r="J93" s="33"/>
      <c r="K93" s="115"/>
      <c r="L93" s="32"/>
      <c r="M93" s="115"/>
    </row>
    <row r="94" ht="21.75" customHeight="1">
      <c r="A94" s="117"/>
      <c r="B94" s="28"/>
      <c r="C94" s="117"/>
      <c r="D94" s="28"/>
      <c r="E94" s="117"/>
      <c r="F94" s="117"/>
      <c r="G94" s="28"/>
      <c r="H94" s="28"/>
      <c r="I94" s="28"/>
      <c r="J94" s="30"/>
      <c r="K94" s="117"/>
      <c r="L94" s="28"/>
      <c r="M94" s="115"/>
    </row>
    <row r="95" ht="21.75" customHeight="1">
      <c r="A95" s="115"/>
      <c r="B95" s="32"/>
      <c r="C95" s="115"/>
      <c r="D95" s="32"/>
      <c r="E95" s="115"/>
      <c r="F95" s="115"/>
      <c r="G95" s="32"/>
      <c r="H95" s="32"/>
      <c r="I95" s="32"/>
      <c r="J95" s="33"/>
      <c r="K95" s="115"/>
      <c r="L95" s="32"/>
      <c r="M95" s="115"/>
    </row>
    <row r="96" ht="21.75" customHeight="1">
      <c r="A96" s="117"/>
      <c r="B96" s="28"/>
      <c r="C96" s="117"/>
      <c r="D96" s="28"/>
      <c r="E96" s="117"/>
      <c r="F96" s="117"/>
      <c r="G96" s="28"/>
      <c r="H96" s="28"/>
      <c r="I96" s="28"/>
      <c r="J96" s="30"/>
      <c r="K96" s="117"/>
      <c r="L96" s="28"/>
      <c r="M96" s="115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21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30"/>
      <c r="K104" s="28"/>
      <c r="L104" s="28"/>
      <c r="M104" s="28"/>
    </row>
    <row r="105" ht="21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3"/>
      <c r="K105" s="32"/>
      <c r="L105" s="32"/>
      <c r="M105" s="32"/>
    </row>
    <row r="106" ht="21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30"/>
      <c r="K106" s="28"/>
      <c r="L106" s="28"/>
      <c r="M106" s="28"/>
    </row>
    <row r="107" ht="21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2"/>
      <c r="L107" s="32"/>
      <c r="M107" s="32"/>
    </row>
    <row r="108" ht="21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30"/>
      <c r="K108" s="28"/>
      <c r="L108" s="28"/>
      <c r="M108" s="28"/>
    </row>
    <row r="109" ht="21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3"/>
      <c r="K109" s="32"/>
      <c r="L109" s="32"/>
      <c r="M109" s="32"/>
    </row>
    <row r="110" ht="21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30"/>
      <c r="K110" s="28"/>
      <c r="L110" s="28"/>
      <c r="M110" s="28"/>
    </row>
    <row r="111" ht="21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3"/>
      <c r="K111" s="32"/>
      <c r="L111" s="32"/>
      <c r="M111" s="32"/>
    </row>
    <row r="112" ht="21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30"/>
      <c r="K112" s="28"/>
      <c r="L112" s="28"/>
      <c r="M112" s="28"/>
    </row>
    <row r="113" ht="21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3"/>
      <c r="K113" s="32"/>
      <c r="L113" s="32"/>
      <c r="M113" s="32"/>
    </row>
    <row r="114" ht="21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30"/>
      <c r="K114" s="28"/>
      <c r="L114" s="28"/>
      <c r="M114" s="28"/>
    </row>
    <row r="115" ht="21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3"/>
      <c r="K115" s="32"/>
      <c r="L115" s="32"/>
      <c r="M115" s="32"/>
    </row>
    <row r="116" ht="21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30"/>
      <c r="K116" s="28"/>
      <c r="L116" s="28"/>
      <c r="M116" s="28"/>
    </row>
    <row r="117" ht="21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2"/>
      <c r="L117" s="32"/>
      <c r="M117" s="32"/>
    </row>
    <row r="118" ht="21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30"/>
      <c r="K118" s="28"/>
      <c r="L118" s="28"/>
      <c r="M118" s="28"/>
    </row>
    <row r="119" ht="21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3"/>
      <c r="K119" s="32"/>
      <c r="L119" s="32"/>
      <c r="M119" s="32"/>
    </row>
    <row r="120" ht="21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30"/>
      <c r="K120" s="28"/>
      <c r="L120" s="28"/>
      <c r="M120" s="28"/>
    </row>
    <row r="121" ht="21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3"/>
      <c r="K121" s="32"/>
      <c r="L121" s="32"/>
      <c r="M121" s="32"/>
    </row>
    <row r="122" ht="21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30"/>
      <c r="K122" s="28"/>
      <c r="L122" s="28"/>
      <c r="M122" s="28"/>
    </row>
    <row r="123" ht="21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3"/>
      <c r="K123" s="32"/>
      <c r="L123" s="32"/>
      <c r="M123" s="32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>
      <c r="C501" s="1"/>
      <c r="D501" s="1"/>
      <c r="E501" s="1"/>
      <c r="F501" s="1"/>
      <c r="J501" s="1"/>
      <c r="K501" s="1"/>
    </row>
    <row r="502" ht="15.75" customHeight="1">
      <c r="C502" s="1"/>
      <c r="D502" s="1"/>
      <c r="E502" s="1"/>
      <c r="F502" s="1"/>
      <c r="J502" s="1"/>
      <c r="K502" s="1"/>
    </row>
    <row r="503" ht="15.75" customHeight="1">
      <c r="C503" s="1"/>
      <c r="D503" s="1"/>
      <c r="E503" s="1"/>
      <c r="F503" s="1"/>
      <c r="J503" s="1"/>
      <c r="K503" s="1"/>
    </row>
    <row r="504" ht="15.75" customHeight="1">
      <c r="C504" s="1"/>
      <c r="D504" s="1"/>
      <c r="E504" s="1"/>
      <c r="F504" s="1"/>
      <c r="J504" s="1"/>
      <c r="K504" s="1"/>
    </row>
    <row r="505" ht="15.75" customHeight="1">
      <c r="C505" s="1"/>
      <c r="D505" s="1"/>
      <c r="E505" s="1"/>
      <c r="F505" s="1"/>
      <c r="J505" s="1"/>
      <c r="K505" s="1"/>
    </row>
    <row r="506" ht="15.75" customHeight="1">
      <c r="C506" s="1"/>
      <c r="D506" s="1"/>
      <c r="E506" s="1"/>
      <c r="F506" s="1"/>
      <c r="J506" s="1"/>
      <c r="K506" s="1"/>
    </row>
    <row r="507" ht="15.75" customHeight="1">
      <c r="C507" s="1"/>
      <c r="D507" s="1"/>
      <c r="E507" s="1"/>
      <c r="F507" s="1"/>
      <c r="J507" s="1"/>
      <c r="K507" s="1"/>
    </row>
    <row r="508" ht="15.75" customHeight="1">
      <c r="C508" s="1"/>
      <c r="D508" s="1"/>
      <c r="E508" s="1"/>
      <c r="F508" s="1"/>
      <c r="J508" s="1"/>
      <c r="K508" s="1"/>
    </row>
    <row r="509" ht="15.75" customHeight="1">
      <c r="C509" s="1"/>
      <c r="D509" s="1"/>
      <c r="E509" s="1"/>
      <c r="F509" s="1"/>
      <c r="J509" s="1"/>
      <c r="K509" s="1"/>
    </row>
    <row r="510" ht="15.75" customHeight="1">
      <c r="C510" s="1"/>
      <c r="D510" s="1"/>
      <c r="E510" s="1"/>
      <c r="F510" s="1"/>
      <c r="J510" s="1"/>
      <c r="K510" s="1"/>
    </row>
    <row r="511" ht="15.75" customHeight="1">
      <c r="C511" s="1"/>
      <c r="D511" s="1"/>
      <c r="E511" s="1"/>
      <c r="F511" s="1"/>
      <c r="J511" s="1"/>
      <c r="K511" s="1"/>
    </row>
    <row r="512" ht="15.75" customHeight="1">
      <c r="C512" s="1"/>
      <c r="D512" s="1"/>
      <c r="E512" s="1"/>
      <c r="F512" s="1"/>
      <c r="J512" s="1"/>
      <c r="K512" s="1"/>
    </row>
    <row r="513" ht="15.75" customHeight="1">
      <c r="C513" s="1"/>
      <c r="D513" s="1"/>
      <c r="E513" s="1"/>
      <c r="F513" s="1"/>
      <c r="J513" s="1"/>
      <c r="K513" s="1"/>
    </row>
    <row r="514" ht="15.75" customHeight="1">
      <c r="C514" s="1"/>
      <c r="D514" s="1"/>
      <c r="E514" s="1"/>
      <c r="F514" s="1"/>
      <c r="J514" s="1"/>
      <c r="K514" s="1"/>
    </row>
    <row r="515" ht="15.75" customHeight="1">
      <c r="C515" s="1"/>
      <c r="D515" s="1"/>
      <c r="E515" s="1"/>
      <c r="F515" s="1"/>
      <c r="J515" s="1"/>
      <c r="K515" s="1"/>
    </row>
    <row r="516" ht="15.75" customHeight="1">
      <c r="C516" s="1"/>
      <c r="D516" s="1"/>
      <c r="E516" s="1"/>
      <c r="F516" s="1"/>
      <c r="J516" s="1"/>
      <c r="K516" s="1"/>
    </row>
    <row r="517" ht="15.75" customHeight="1">
      <c r="C517" s="1"/>
      <c r="D517" s="1"/>
      <c r="E517" s="1"/>
      <c r="F517" s="1"/>
      <c r="J517" s="1"/>
      <c r="K517" s="1"/>
    </row>
    <row r="518" ht="15.75" customHeight="1">
      <c r="C518" s="1"/>
      <c r="D518" s="1"/>
      <c r="E518" s="1"/>
      <c r="F518" s="1"/>
      <c r="J518" s="1"/>
      <c r="K518" s="1"/>
    </row>
    <row r="519" ht="15.75" customHeight="1">
      <c r="C519" s="1"/>
      <c r="D519" s="1"/>
      <c r="E519" s="1"/>
      <c r="F519" s="1"/>
      <c r="J519" s="1"/>
      <c r="K519" s="1"/>
    </row>
    <row r="520" ht="15.75" customHeight="1">
      <c r="C520" s="1"/>
      <c r="D520" s="1"/>
      <c r="E520" s="1"/>
      <c r="F520" s="1"/>
      <c r="J520" s="1"/>
      <c r="K520" s="1"/>
    </row>
    <row r="521" ht="15.75" customHeight="1"/>
    <row r="522" ht="15.0" customHeight="1">
      <c r="A522" s="85" t="s">
        <v>177</v>
      </c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6"/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">
    <mergeCell ref="A1:M1"/>
    <mergeCell ref="A522:M522"/>
  </mergeCells>
  <conditionalFormatting sqref="A4:M520">
    <cfRule type="expression" dxfId="0" priority="1">
      <formula>$K4="Nouveau lead"</formula>
    </cfRule>
  </conditionalFormatting>
  <conditionalFormatting sqref="A4:M520">
    <cfRule type="expression" dxfId="1" priority="2">
      <formula>$K4="Appel 1 effectué"</formula>
    </cfRule>
  </conditionalFormatting>
  <conditionalFormatting sqref="A4:M520">
    <cfRule type="expression" dxfId="2" priority="3">
      <formula>$K4="En attente VIN/Photo"</formula>
    </cfRule>
  </conditionalFormatting>
  <conditionalFormatting sqref="A4:M520">
    <cfRule type="expression" dxfId="3" priority="4">
      <formula>$K4="Vérification"</formula>
    </cfRule>
  </conditionalFormatting>
  <conditionalFormatting sqref="A4:M520">
    <cfRule type="expression" dxfId="4" priority="5">
      <formula>$K4="Appel 2 effectué"</formula>
    </cfRule>
  </conditionalFormatting>
  <conditionalFormatting sqref="A4:M520">
    <cfRule type="expression" dxfId="5" priority="6">
      <formula>$K4="RDV confirmé"</formula>
    </cfRule>
  </conditionalFormatting>
  <conditionalFormatting sqref="A4:M520">
    <cfRule type="expression" dxfId="6" priority="7">
      <formula>$K4="RDV honoré"</formula>
    </cfRule>
  </conditionalFormatting>
  <conditionalFormatting sqref="A4:M520">
    <cfRule type="expression" dxfId="7" priority="8">
      <formula>$K4="Non faisable"</formula>
    </cfRule>
  </conditionalFormatting>
  <conditionalFormatting sqref="A4:M52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K4:K520">
      <formula1>'_Listes'!$A$2:$A$10</formula1>
    </dataValidation>
    <dataValidation type="list" allowBlank="1" showInputMessage="1" showErrorMessage="1" prompt="Valeur invalide - Choisissez dans la liste." sqref="D4:D25 D27:D520">
      <formula1>'_Listes'!$B$2:$B$25</formula1>
    </dataValidation>
    <dataValidation type="date" operator="greaterThan" allowBlank="1" showInputMessage="1" showErrorMessage="1" prompt="Date invalide - Entrez une date valide (ex: 28/06/2025)." sqref="J4:J520">
      <formula1>DATE(2020,1,1)</formula1>
    </dataValidation>
    <dataValidation type="list" allowBlank="1" showInputMessage="1" showErrorMessage="1" prompt="Click and enter a value from the list of items" sqref="E6">
      <formula1>"VW Golf 7.5"</formula1>
    </dataValidation>
    <dataValidation type="list" allowBlank="1" showInputMessage="1" showErrorMessage="1" prompt="Click and enter a value from the list of items" sqref="E5 E93">
      <formula1>"Mercedes CLA"</formula1>
    </dataValidation>
    <dataValidation type="list" allowBlank="1" showInputMessage="1" showErrorMessage="1" prompt="Valeur invalide - Choisissez dans la liste." sqref="C4:C520">
      <formula1>'_Listes'!$C$2:$C$8</formula1>
    </dataValidation>
    <dataValidation type="list" allowBlank="1" showInputMessage="1" showErrorMessage="1" prompt="Click and enter a value from the list of items" sqref="F42">
      <formula1>"Android auto+ navigation"</formula1>
    </dataValidation>
    <dataValidation type="list" allowBlank="1" showInputMessage="1" showErrorMessage="1" prompt="Valeur invalide - Choisissez dans la liste." sqref="F4:F41 F43:F54 F56:F520">
      <formula1>'_Listes'!$E$2:$E$15</formula1>
    </dataValidation>
    <dataValidation type="list" allowBlank="1" showInputMessage="1" showErrorMessage="1" prompt="Click and enter a value from the list of items" sqref="D26">
      <formula1>"France"</formula1>
    </dataValidation>
    <dataValidation type="list" allowBlank="1" showInputMessage="1" showErrorMessage="1" prompt="Click and enter a value from the list of items" sqref="E12">
      <formula1>"Ibiza"</formula1>
    </dataValidation>
    <dataValidation type="list" allowBlank="1" showInputMessage="1" showErrorMessage="1" prompt="Click and enter a value from the list of items" sqref="E20">
      <formula1>"Audi Q8"</formula1>
    </dataValidation>
    <dataValidation type="list" allowBlank="1" showInputMessage="1" showErrorMessage="1" prompt="Click and enter a value from the list of items" sqref="E26">
      <formula1>"Skoda "</formula1>
    </dataValidation>
    <dataValidation type="list" allowBlank="1" showInputMessage="1" showErrorMessage="1" prompt="Click and enter a value from the list of items" sqref="E4">
      <formula1>"T-roc"</formula1>
    </dataValidation>
    <dataValidation type="list" allowBlank="1" showInputMessage="1" showErrorMessage="1" prompt="Click and enter a value from the list of items" sqref="F55">
      <formula1>"App connect"</formula1>
    </dataValidation>
    <dataValidation type="list" allowBlank="1" showInputMessage="1" showErrorMessage="1" prompt="Click and enter a value from the list of items" sqref="E14">
      <formula1>"Nissan"</formula1>
    </dataValidation>
    <dataValidation type="list" allowBlank="1" showInputMessage="1" showErrorMessage="1" prompt="Click and enter a value from the list of items" sqref="E7">
      <formula1>"SEAT leon"</formula1>
    </dataValidation>
    <dataValidation type="list" allowBlank="1" showInputMessage="1" showErrorMessage="1" prompt="Valeur invalide - Choisissez dans la liste." sqref="E8:E11 E13 E15:E19 E21:E25 E27:E54 E56:E92 E94:E520">
      <formula1>'_Listes'!$D$2:$D$42</formula1>
    </dataValidation>
    <dataValidation type="list" allowBlank="1" showInputMessage="1" showErrorMessage="1" prompt="Click and enter a value from the list of items" sqref="E55">
      <formula1>"polo 8"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39.43"/>
    <col customWidth="1" min="7" max="7" width="22.57"/>
    <col customWidth="1" min="8" max="8" width="26.14"/>
    <col customWidth="1" min="9" max="9" width="18.0"/>
    <col customWidth="1" min="10" max="10" width="14.0"/>
    <col customWidth="1" min="11" max="11" width="22.0"/>
    <col customWidth="1" min="12" max="12" width="13.0"/>
    <col customWidth="1" min="13" max="13" width="76.14"/>
    <col customWidth="1" min="14" max="26" width="8.71"/>
  </cols>
  <sheetData>
    <row r="1" ht="33.75" customHeight="1">
      <c r="A1" s="15" t="s">
        <v>267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120" t="s">
        <v>177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2"/>
    </row>
    <row r="5" ht="21.75" customHeight="1">
      <c r="A5" s="115" t="s">
        <v>251</v>
      </c>
      <c r="B5" s="115">
        <v>9.3974881E7</v>
      </c>
      <c r="C5" s="115" t="s">
        <v>19</v>
      </c>
      <c r="D5" s="115" t="s">
        <v>17</v>
      </c>
      <c r="E5" s="115" t="s">
        <v>62</v>
      </c>
      <c r="F5" s="115" t="s">
        <v>289</v>
      </c>
      <c r="G5" s="115" t="s">
        <v>290</v>
      </c>
      <c r="H5" s="32"/>
      <c r="I5" s="32"/>
      <c r="J5" s="123">
        <v>46223.0</v>
      </c>
      <c r="K5" s="115" t="s">
        <v>32</v>
      </c>
      <c r="L5" s="124"/>
      <c r="M5" s="125" t="s">
        <v>293</v>
      </c>
    </row>
    <row r="6" ht="21.75" customHeight="1">
      <c r="A6" s="32"/>
      <c r="B6" s="115">
        <v>5.4363002E7</v>
      </c>
      <c r="C6" s="115" t="s">
        <v>19</v>
      </c>
      <c r="D6" s="115" t="s">
        <v>17</v>
      </c>
      <c r="E6" s="115" t="s">
        <v>73</v>
      </c>
      <c r="F6" s="115" t="s">
        <v>294</v>
      </c>
      <c r="G6" s="32"/>
      <c r="H6" s="32"/>
      <c r="I6" s="32"/>
      <c r="J6" s="33"/>
      <c r="K6" s="115" t="s">
        <v>22</v>
      </c>
      <c r="L6" s="124"/>
      <c r="M6" s="125" t="s">
        <v>295</v>
      </c>
    </row>
    <row r="7" ht="21.75" customHeight="1">
      <c r="A7" s="126"/>
      <c r="B7" s="127">
        <v>2.367105E7</v>
      </c>
      <c r="C7" s="127" t="s">
        <v>24</v>
      </c>
      <c r="D7" s="127" t="s">
        <v>43</v>
      </c>
      <c r="E7" s="127" t="s">
        <v>56</v>
      </c>
      <c r="F7" s="126"/>
      <c r="G7" s="126"/>
      <c r="H7" s="126"/>
      <c r="I7" s="126"/>
      <c r="J7" s="128"/>
      <c r="K7" s="126"/>
      <c r="L7" s="126"/>
      <c r="M7" s="129" t="s">
        <v>296</v>
      </c>
    </row>
    <row r="8" ht="21.75" customHeight="1">
      <c r="A8" s="130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2"/>
    </row>
    <row r="9" ht="21.75" customHeight="1">
      <c r="A9" s="133" t="s">
        <v>297</v>
      </c>
      <c r="B9" s="133">
        <v>2.9463672E7</v>
      </c>
      <c r="C9" s="133" t="s">
        <v>7</v>
      </c>
      <c r="D9" s="133" t="s">
        <v>58</v>
      </c>
      <c r="E9" s="133" t="s">
        <v>298</v>
      </c>
      <c r="F9" s="133" t="s">
        <v>63</v>
      </c>
      <c r="G9" s="134"/>
      <c r="H9" s="134"/>
      <c r="I9" s="134"/>
      <c r="J9" s="135">
        <v>46215.0</v>
      </c>
      <c r="K9" s="136" t="s">
        <v>32</v>
      </c>
      <c r="L9" s="134"/>
      <c r="M9" s="133" t="s">
        <v>299</v>
      </c>
      <c r="N9" s="137"/>
    </row>
    <row r="10" ht="21.75" customHeight="1">
      <c r="A10" s="138" t="s">
        <v>300</v>
      </c>
      <c r="B10" s="138">
        <v>5.082388E7</v>
      </c>
      <c r="C10" s="138" t="s">
        <v>7</v>
      </c>
      <c r="D10" s="138" t="s">
        <v>58</v>
      </c>
      <c r="E10" s="138" t="s">
        <v>62</v>
      </c>
      <c r="F10" s="139"/>
      <c r="G10" s="139"/>
      <c r="H10" s="139"/>
      <c r="I10" s="139"/>
      <c r="J10" s="140">
        <v>46215.0</v>
      </c>
      <c r="K10" s="138" t="s">
        <v>301</v>
      </c>
      <c r="L10" s="139"/>
      <c r="M10" s="138" t="s">
        <v>302</v>
      </c>
      <c r="N10" s="137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21.75" customHeight="1">
      <c r="A11" s="142" t="s">
        <v>303</v>
      </c>
      <c r="B11" s="142">
        <v>9.5988129E7</v>
      </c>
      <c r="C11" s="142" t="s">
        <v>7</v>
      </c>
      <c r="D11" s="142" t="s">
        <v>58</v>
      </c>
      <c r="E11" s="142" t="s">
        <v>62</v>
      </c>
      <c r="F11" s="142" t="s">
        <v>9</v>
      </c>
      <c r="G11" s="143"/>
      <c r="H11" s="143"/>
      <c r="I11" s="143"/>
      <c r="J11" s="144">
        <v>46221.0</v>
      </c>
      <c r="K11" s="142" t="s">
        <v>304</v>
      </c>
      <c r="L11" s="143"/>
      <c r="M11" s="142" t="s">
        <v>304</v>
      </c>
      <c r="N11" s="137"/>
    </row>
    <row r="12" ht="21.75" customHeight="1">
      <c r="A12" s="28"/>
      <c r="B12" s="117">
        <v>2.6243831E7</v>
      </c>
      <c r="C12" s="115" t="s">
        <v>7</v>
      </c>
      <c r="D12" s="117" t="s">
        <v>58</v>
      </c>
      <c r="E12" s="117" t="s">
        <v>85</v>
      </c>
      <c r="F12" s="115" t="s">
        <v>63</v>
      </c>
      <c r="G12" s="28"/>
      <c r="H12" s="28"/>
      <c r="I12" s="28"/>
      <c r="J12" s="123">
        <v>46221.0</v>
      </c>
      <c r="K12" s="117" t="s">
        <v>32</v>
      </c>
      <c r="L12" s="28"/>
      <c r="M12" s="117" t="s">
        <v>305</v>
      </c>
      <c r="N12" s="137"/>
    </row>
    <row r="13" ht="21.75" customHeight="1">
      <c r="A13" s="32"/>
      <c r="B13" s="115">
        <v>2.2476484E7</v>
      </c>
      <c r="C13" s="115" t="s">
        <v>7</v>
      </c>
      <c r="D13" s="117" t="s">
        <v>58</v>
      </c>
      <c r="E13" s="115" t="s">
        <v>306</v>
      </c>
      <c r="F13" s="115" t="s">
        <v>63</v>
      </c>
      <c r="G13" s="32"/>
      <c r="H13" s="32"/>
      <c r="I13" s="32"/>
      <c r="J13" s="123">
        <v>46215.0</v>
      </c>
      <c r="K13" s="117" t="s">
        <v>32</v>
      </c>
      <c r="L13" s="32"/>
      <c r="M13" s="115" t="s">
        <v>307</v>
      </c>
      <c r="N13" s="137"/>
    </row>
    <row r="14" ht="21.75" customHeight="1">
      <c r="A14" s="28"/>
      <c r="B14" s="117">
        <v>41775344201</v>
      </c>
      <c r="C14" s="117" t="s">
        <v>7</v>
      </c>
      <c r="D14" s="117" t="s">
        <v>58</v>
      </c>
      <c r="E14" s="117" t="s">
        <v>80</v>
      </c>
      <c r="F14" s="117" t="s">
        <v>63</v>
      </c>
      <c r="G14" s="28"/>
      <c r="H14" s="28"/>
      <c r="I14" s="28"/>
      <c r="J14" s="145">
        <v>46215.0</v>
      </c>
      <c r="K14" s="117" t="s">
        <v>32</v>
      </c>
      <c r="L14" s="28"/>
      <c r="M14" s="28"/>
      <c r="N14" s="118"/>
    </row>
    <row r="15" ht="21.75" customHeight="1">
      <c r="A15" s="143"/>
      <c r="B15" s="142">
        <v>5.8311202E7</v>
      </c>
      <c r="C15" s="142" t="s">
        <v>7</v>
      </c>
      <c r="D15" s="142" t="s">
        <v>58</v>
      </c>
      <c r="E15" s="142" t="s">
        <v>308</v>
      </c>
      <c r="F15" s="142" t="s">
        <v>14</v>
      </c>
      <c r="G15" s="143"/>
      <c r="H15" s="143"/>
      <c r="I15" s="143"/>
      <c r="J15" s="144">
        <v>46215.0</v>
      </c>
      <c r="K15" s="142" t="s">
        <v>304</v>
      </c>
      <c r="L15" s="143"/>
      <c r="M15" s="142" t="s">
        <v>309</v>
      </c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 ht="21.75" customHeight="1">
      <c r="A16" s="142" t="s">
        <v>310</v>
      </c>
      <c r="B16" s="143">
        <f>33660635825</f>
        <v>33660635825</v>
      </c>
      <c r="C16" s="142" t="s">
        <v>7</v>
      </c>
      <c r="D16" s="142" t="s">
        <v>58</v>
      </c>
      <c r="E16" s="142" t="s">
        <v>308</v>
      </c>
      <c r="F16" s="142" t="s">
        <v>63</v>
      </c>
      <c r="G16" s="143"/>
      <c r="H16" s="143"/>
      <c r="I16" s="143"/>
      <c r="J16" s="144">
        <v>46215.0</v>
      </c>
      <c r="K16" s="142" t="s">
        <v>304</v>
      </c>
      <c r="L16" s="143"/>
      <c r="M16" s="142" t="s">
        <v>311</v>
      </c>
    </row>
    <row r="17" ht="21.75" customHeight="1">
      <c r="A17" s="115" t="s">
        <v>312</v>
      </c>
      <c r="B17" s="115">
        <v>9.4786E7</v>
      </c>
      <c r="C17" s="115" t="s">
        <v>19</v>
      </c>
      <c r="D17" s="115" t="s">
        <v>58</v>
      </c>
      <c r="E17" s="115" t="s">
        <v>82</v>
      </c>
      <c r="F17" s="117" t="s">
        <v>63</v>
      </c>
      <c r="G17" s="32"/>
      <c r="H17" s="32"/>
      <c r="I17" s="32"/>
      <c r="J17" s="123">
        <v>46215.0</v>
      </c>
      <c r="K17" s="115" t="s">
        <v>32</v>
      </c>
      <c r="L17" s="32"/>
      <c r="M17" s="32"/>
      <c r="N17" s="137"/>
    </row>
    <row r="18" ht="21.75" customHeight="1">
      <c r="A18" s="147"/>
      <c r="B18" s="147">
        <f>353894230001</f>
        <v>353894230001</v>
      </c>
      <c r="C18" s="148" t="s">
        <v>7</v>
      </c>
      <c r="D18" s="148" t="s">
        <v>58</v>
      </c>
      <c r="E18" s="148" t="s">
        <v>313</v>
      </c>
      <c r="F18" s="148" t="s">
        <v>314</v>
      </c>
      <c r="G18" s="147"/>
      <c r="H18" s="147"/>
      <c r="I18" s="147"/>
      <c r="J18" s="149"/>
      <c r="K18" s="148" t="s">
        <v>5</v>
      </c>
      <c r="L18" s="147"/>
      <c r="M18" s="147"/>
      <c r="N18" s="118"/>
    </row>
    <row r="19" ht="21.75" customHeight="1">
      <c r="A19" s="150"/>
      <c r="B19" s="151">
        <v>5.0694256E7</v>
      </c>
      <c r="C19" s="152" t="s">
        <v>7</v>
      </c>
      <c r="D19" s="153" t="s">
        <v>58</v>
      </c>
      <c r="E19" s="154" t="s">
        <v>315</v>
      </c>
      <c r="F19" s="155"/>
      <c r="G19" s="150"/>
      <c r="H19" s="150"/>
      <c r="I19" s="150"/>
      <c r="J19" s="156"/>
      <c r="K19" s="157" t="s">
        <v>32</v>
      </c>
      <c r="L19" s="150"/>
      <c r="M19" s="150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ht="21.75" customHeight="1">
      <c r="A20" s="159" t="s">
        <v>316</v>
      </c>
      <c r="B20" s="151">
        <v>3.2474063658E10</v>
      </c>
      <c r="C20" s="152" t="s">
        <v>7</v>
      </c>
      <c r="D20" s="153" t="s">
        <v>58</v>
      </c>
      <c r="E20" s="154" t="s">
        <v>317</v>
      </c>
      <c r="F20" s="154" t="s">
        <v>318</v>
      </c>
      <c r="G20" s="150"/>
      <c r="H20" s="150"/>
      <c r="I20" s="150"/>
      <c r="J20" s="160">
        <v>46234.0</v>
      </c>
      <c r="K20" s="157" t="s">
        <v>32</v>
      </c>
      <c r="L20" s="150"/>
      <c r="M20" s="161" t="s">
        <v>299</v>
      </c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ht="21.75" customHeight="1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2"/>
    </row>
    <row r="22" ht="21.75" customHeight="1">
      <c r="A22" s="133" t="s">
        <v>319</v>
      </c>
      <c r="B22" s="133">
        <v>2.078591E7</v>
      </c>
      <c r="C22" s="133" t="s">
        <v>7</v>
      </c>
      <c r="D22" s="133" t="s">
        <v>66</v>
      </c>
      <c r="E22" s="133" t="s">
        <v>320</v>
      </c>
      <c r="F22" s="133" t="s">
        <v>63</v>
      </c>
      <c r="G22" s="134"/>
      <c r="H22" s="134"/>
      <c r="I22" s="134"/>
      <c r="J22" s="135">
        <v>46214.0</v>
      </c>
      <c r="K22" s="133" t="s">
        <v>32</v>
      </c>
      <c r="L22" s="134"/>
      <c r="M22" s="133" t="s">
        <v>321</v>
      </c>
      <c r="N22" s="137"/>
    </row>
    <row r="23" ht="21.75" customHeight="1">
      <c r="A23" s="142" t="s">
        <v>322</v>
      </c>
      <c r="B23" s="142">
        <v>9.8365175E7</v>
      </c>
      <c r="C23" s="142" t="s">
        <v>7</v>
      </c>
      <c r="D23" s="142" t="s">
        <v>66</v>
      </c>
      <c r="E23" s="142" t="s">
        <v>73</v>
      </c>
      <c r="F23" s="142" t="s">
        <v>26</v>
      </c>
      <c r="G23" s="143"/>
      <c r="H23" s="143"/>
      <c r="I23" s="143"/>
      <c r="J23" s="144">
        <v>46214.0</v>
      </c>
      <c r="K23" s="142" t="s">
        <v>304</v>
      </c>
      <c r="L23" s="143"/>
      <c r="M23" s="142" t="s">
        <v>311</v>
      </c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ht="21.75" customHeight="1">
      <c r="A24" s="142" t="s">
        <v>323</v>
      </c>
      <c r="B24" s="142">
        <v>5.3633133E7</v>
      </c>
      <c r="C24" s="142" t="s">
        <v>19</v>
      </c>
      <c r="D24" s="142" t="s">
        <v>66</v>
      </c>
      <c r="E24" s="142" t="s">
        <v>62</v>
      </c>
      <c r="F24" s="142" t="s">
        <v>63</v>
      </c>
      <c r="G24" s="143"/>
      <c r="H24" s="143"/>
      <c r="I24" s="143"/>
      <c r="J24" s="144">
        <v>46215.0</v>
      </c>
      <c r="K24" s="142" t="s">
        <v>304</v>
      </c>
      <c r="L24" s="143"/>
      <c r="M24" s="142" t="s">
        <v>311</v>
      </c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ht="21.75" customHeight="1">
      <c r="A25" s="142" t="s">
        <v>324</v>
      </c>
      <c r="B25" s="142">
        <v>5.5669984E7</v>
      </c>
      <c r="C25" s="142" t="s">
        <v>7</v>
      </c>
      <c r="D25" s="142" t="s">
        <v>66</v>
      </c>
      <c r="E25" s="142" t="s">
        <v>48</v>
      </c>
      <c r="F25" s="142" t="s">
        <v>9</v>
      </c>
      <c r="G25" s="142" t="s">
        <v>325</v>
      </c>
      <c r="H25" s="143"/>
      <c r="I25" s="143"/>
      <c r="J25" s="144">
        <v>46215.0</v>
      </c>
      <c r="K25" s="142" t="s">
        <v>304</v>
      </c>
      <c r="L25" s="143"/>
      <c r="M25" s="142" t="s">
        <v>309</v>
      </c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ht="21.75" customHeight="1">
      <c r="A26" s="162" t="s">
        <v>326</v>
      </c>
      <c r="B26" s="163">
        <v>3.3651807162E10</v>
      </c>
      <c r="C26" s="162" t="s">
        <v>7</v>
      </c>
      <c r="D26" s="162" t="s">
        <v>66</v>
      </c>
      <c r="E26" s="164" t="s">
        <v>327</v>
      </c>
      <c r="F26" s="165"/>
      <c r="G26" s="165"/>
      <c r="H26" s="166"/>
      <c r="I26" s="166"/>
      <c r="J26" s="167">
        <v>46234.0</v>
      </c>
      <c r="K26" s="165" t="s">
        <v>32</v>
      </c>
      <c r="L26" s="168" t="s">
        <v>328</v>
      </c>
      <c r="M26" s="165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21.75" customHeight="1">
      <c r="A27" s="169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2"/>
    </row>
    <row r="28" ht="21.75" customHeight="1">
      <c r="A28" s="115" t="s">
        <v>329</v>
      </c>
      <c r="B28" s="115">
        <v>5.3873929E7</v>
      </c>
      <c r="C28" s="115" t="s">
        <v>19</v>
      </c>
      <c r="D28" s="115" t="s">
        <v>68</v>
      </c>
      <c r="E28" s="32"/>
      <c r="F28" s="115" t="s">
        <v>63</v>
      </c>
      <c r="G28" s="32"/>
      <c r="H28" s="115" t="s">
        <v>330</v>
      </c>
      <c r="I28" s="32"/>
      <c r="J28" s="33"/>
      <c r="K28" s="115" t="s">
        <v>22</v>
      </c>
      <c r="L28" s="32"/>
      <c r="M28" s="115" t="s">
        <v>331</v>
      </c>
      <c r="N28" s="118"/>
    </row>
    <row r="29" ht="21.75" customHeight="1">
      <c r="A29" s="138" t="s">
        <v>332</v>
      </c>
      <c r="B29" s="138">
        <v>5.329678E7</v>
      </c>
      <c r="C29" s="138" t="s">
        <v>19</v>
      </c>
      <c r="D29" s="138" t="s">
        <v>68</v>
      </c>
      <c r="E29" s="138" t="s">
        <v>333</v>
      </c>
      <c r="F29" s="138" t="s">
        <v>334</v>
      </c>
      <c r="G29" s="139"/>
      <c r="H29" s="139"/>
      <c r="I29" s="139"/>
      <c r="J29" s="170"/>
      <c r="K29" s="138" t="s">
        <v>335</v>
      </c>
      <c r="L29" s="139"/>
      <c r="M29" s="138" t="s">
        <v>336</v>
      </c>
      <c r="N29" s="137"/>
    </row>
    <row r="30" ht="21.75" customHeight="1">
      <c r="A30" s="138" t="s">
        <v>337</v>
      </c>
      <c r="B30" s="138">
        <v>9.2440481E7</v>
      </c>
      <c r="C30" s="138" t="s">
        <v>19</v>
      </c>
      <c r="D30" s="138" t="s">
        <v>68</v>
      </c>
      <c r="E30" s="138" t="s">
        <v>85</v>
      </c>
      <c r="F30" s="138" t="s">
        <v>26</v>
      </c>
      <c r="G30" s="139"/>
      <c r="H30" s="139"/>
      <c r="I30" s="139"/>
      <c r="J30" s="170"/>
      <c r="K30" s="138" t="s">
        <v>338</v>
      </c>
      <c r="L30" s="139"/>
      <c r="M30" s="138" t="s">
        <v>339</v>
      </c>
      <c r="N30" s="137"/>
    </row>
    <row r="31" ht="21.75" customHeight="1">
      <c r="A31" s="117" t="s">
        <v>340</v>
      </c>
      <c r="B31" s="117" t="s">
        <v>341</v>
      </c>
      <c r="C31" s="117" t="s">
        <v>19</v>
      </c>
      <c r="D31" s="117" t="s">
        <v>68</v>
      </c>
      <c r="E31" s="117" t="s">
        <v>62</v>
      </c>
      <c r="F31" s="117" t="s">
        <v>9</v>
      </c>
      <c r="G31" s="117" t="s">
        <v>342</v>
      </c>
      <c r="H31" s="28"/>
      <c r="I31" s="28"/>
      <c r="J31" s="145">
        <v>46212.0</v>
      </c>
      <c r="K31" s="117" t="s">
        <v>32</v>
      </c>
      <c r="L31" s="28"/>
      <c r="M31" s="117" t="s">
        <v>343</v>
      </c>
      <c r="N31" s="137"/>
    </row>
    <row r="32" ht="21.75" customHeight="1">
      <c r="A32" s="28"/>
      <c r="B32" s="117">
        <v>9.8300008E7</v>
      </c>
      <c r="C32" s="28"/>
      <c r="D32" s="117" t="s">
        <v>68</v>
      </c>
      <c r="E32" s="117" t="s">
        <v>40</v>
      </c>
      <c r="F32" s="117" t="s">
        <v>344</v>
      </c>
      <c r="G32" s="28"/>
      <c r="H32" s="28"/>
      <c r="I32" s="28"/>
      <c r="J32" s="145">
        <v>46239.0</v>
      </c>
      <c r="K32" s="117" t="s">
        <v>32</v>
      </c>
      <c r="L32" s="28"/>
      <c r="M32" s="117" t="s">
        <v>345</v>
      </c>
      <c r="N32" s="137"/>
    </row>
    <row r="33" ht="21.75" customHeight="1">
      <c r="A33" s="117" t="s">
        <v>346</v>
      </c>
      <c r="B33" s="117">
        <v>2.9298457E7</v>
      </c>
      <c r="C33" s="28"/>
      <c r="D33" s="117" t="s">
        <v>68</v>
      </c>
      <c r="E33" s="117" t="s">
        <v>347</v>
      </c>
      <c r="F33" s="117" t="s">
        <v>348</v>
      </c>
      <c r="G33" s="28"/>
      <c r="H33" s="28"/>
      <c r="I33" s="28"/>
      <c r="J33" s="30"/>
      <c r="K33" s="117"/>
      <c r="L33" s="28"/>
      <c r="M33" s="115" t="s">
        <v>349</v>
      </c>
      <c r="N33" s="118"/>
    </row>
    <row r="34" ht="21.75" customHeight="1">
      <c r="A34" s="171"/>
      <c r="B34" s="172">
        <f>33689390761</f>
        <v>33689390761</v>
      </c>
      <c r="C34" s="173" t="s">
        <v>350</v>
      </c>
      <c r="D34" s="174" t="s">
        <v>68</v>
      </c>
      <c r="E34" s="171" t="s">
        <v>351</v>
      </c>
      <c r="F34" s="174" t="s">
        <v>63</v>
      </c>
      <c r="G34" s="173"/>
      <c r="H34" s="173"/>
      <c r="I34" s="173"/>
      <c r="J34" s="175" t="s">
        <v>352</v>
      </c>
      <c r="K34" s="176" t="s">
        <v>304</v>
      </c>
      <c r="L34" s="173"/>
      <c r="M34" s="171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21.75" customHeight="1">
      <c r="A35" s="177" t="s">
        <v>353</v>
      </c>
      <c r="B35" s="178">
        <v>9.2291903E7</v>
      </c>
      <c r="C35" s="179"/>
      <c r="D35" s="180" t="s">
        <v>68</v>
      </c>
      <c r="E35" s="177" t="s">
        <v>69</v>
      </c>
      <c r="F35" s="180" t="s">
        <v>63</v>
      </c>
      <c r="G35" s="179" t="s">
        <v>354</v>
      </c>
      <c r="H35" s="179"/>
      <c r="I35" s="179"/>
      <c r="J35" s="181"/>
      <c r="K35" s="177" t="s">
        <v>22</v>
      </c>
      <c r="L35" s="179"/>
      <c r="M35" s="177" t="s">
        <v>355</v>
      </c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21.75" customHeight="1">
      <c r="A36" s="171"/>
      <c r="B36" s="171" t="s">
        <v>356</v>
      </c>
      <c r="C36" s="173" t="s">
        <v>350</v>
      </c>
      <c r="D36" s="182" t="s">
        <v>357</v>
      </c>
      <c r="E36" s="171" t="s">
        <v>73</v>
      </c>
      <c r="F36" s="182" t="s">
        <v>358</v>
      </c>
      <c r="G36" s="173" t="s">
        <v>359</v>
      </c>
      <c r="H36" s="173"/>
      <c r="I36" s="173"/>
      <c r="J36" s="175" t="s">
        <v>360</v>
      </c>
      <c r="K36" s="171" t="s">
        <v>304</v>
      </c>
      <c r="L36" s="173"/>
      <c r="M36" s="183" t="s">
        <v>361</v>
      </c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21.75" customHeight="1">
      <c r="A37" s="169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2"/>
    </row>
    <row r="38" ht="21.75" customHeight="1">
      <c r="A38" s="115" t="s">
        <v>362</v>
      </c>
      <c r="B38" s="115">
        <v>2.8656687E7</v>
      </c>
      <c r="C38" s="115" t="s">
        <v>19</v>
      </c>
      <c r="D38" s="115" t="s">
        <v>70</v>
      </c>
      <c r="E38" s="115" t="s">
        <v>62</v>
      </c>
      <c r="F38" s="115" t="s">
        <v>9</v>
      </c>
      <c r="G38" s="115" t="s">
        <v>363</v>
      </c>
      <c r="H38" s="32"/>
      <c r="I38" s="32"/>
      <c r="J38" s="33"/>
      <c r="K38" s="115" t="s">
        <v>32</v>
      </c>
      <c r="L38" s="32"/>
      <c r="M38" s="115" t="s">
        <v>364</v>
      </c>
      <c r="N38" s="137"/>
    </row>
    <row r="39" ht="21.75" customHeight="1">
      <c r="A39" s="115" t="s">
        <v>365</v>
      </c>
      <c r="B39" s="115">
        <v>5.5439027E7</v>
      </c>
      <c r="C39" s="115" t="s">
        <v>19</v>
      </c>
      <c r="D39" s="115" t="s">
        <v>70</v>
      </c>
      <c r="E39" s="115" t="s">
        <v>62</v>
      </c>
      <c r="F39" s="115" t="s">
        <v>63</v>
      </c>
      <c r="G39" s="32"/>
      <c r="H39" s="32"/>
      <c r="I39" s="32"/>
      <c r="J39" s="33"/>
      <c r="K39" s="115" t="s">
        <v>22</v>
      </c>
      <c r="L39" s="32"/>
      <c r="M39" s="115" t="s">
        <v>366</v>
      </c>
    </row>
    <row r="40" ht="21.75" customHeight="1">
      <c r="A40" s="115" t="s">
        <v>367</v>
      </c>
      <c r="B40" s="115">
        <v>5.2865865E7</v>
      </c>
      <c r="C40" s="115" t="s">
        <v>24</v>
      </c>
      <c r="D40" s="115" t="s">
        <v>70</v>
      </c>
      <c r="E40" s="115" t="s">
        <v>20</v>
      </c>
      <c r="F40" s="115" t="s">
        <v>21</v>
      </c>
      <c r="G40" s="115" t="s">
        <v>368</v>
      </c>
      <c r="H40" s="32"/>
      <c r="I40" s="32"/>
      <c r="J40" s="33"/>
      <c r="K40" s="115" t="s">
        <v>32</v>
      </c>
      <c r="L40" s="32"/>
      <c r="M40" s="115" t="s">
        <v>369</v>
      </c>
      <c r="N40" s="137"/>
    </row>
    <row r="41" ht="21.75" customHeight="1">
      <c r="A41" s="117" t="s">
        <v>370</v>
      </c>
      <c r="B41" s="117">
        <v>9.5333076E7</v>
      </c>
      <c r="C41" s="117" t="s">
        <v>7</v>
      </c>
      <c r="D41" s="117" t="s">
        <v>70</v>
      </c>
      <c r="E41" s="117" t="s">
        <v>94</v>
      </c>
      <c r="F41" s="117" t="s">
        <v>63</v>
      </c>
      <c r="G41" s="28"/>
      <c r="H41" s="117" t="s">
        <v>371</v>
      </c>
      <c r="I41" s="28"/>
      <c r="J41" s="145">
        <v>46214.0</v>
      </c>
      <c r="K41" s="117" t="s">
        <v>32</v>
      </c>
      <c r="L41" s="28"/>
      <c r="M41" s="117" t="s">
        <v>372</v>
      </c>
      <c r="N41" s="137"/>
    </row>
    <row r="42" ht="21.75" customHeight="1">
      <c r="A42" s="28"/>
      <c r="B42" s="117">
        <v>5.2480287E7</v>
      </c>
      <c r="C42" s="117" t="s">
        <v>7</v>
      </c>
      <c r="D42" s="117" t="s">
        <v>70</v>
      </c>
      <c r="E42" s="117" t="s">
        <v>82</v>
      </c>
      <c r="F42" s="117" t="s">
        <v>9</v>
      </c>
      <c r="G42" s="28"/>
      <c r="H42" s="28"/>
      <c r="I42" s="28"/>
      <c r="J42" s="145">
        <v>46221.0</v>
      </c>
      <c r="K42" s="117" t="s">
        <v>32</v>
      </c>
      <c r="L42" s="28"/>
      <c r="M42" s="117" t="s">
        <v>373</v>
      </c>
      <c r="N42" s="137"/>
    </row>
    <row r="43" ht="21.75" customHeight="1">
      <c r="A43" s="32"/>
      <c r="B43" s="115">
        <v>2.76252E7</v>
      </c>
      <c r="C43" s="115" t="s">
        <v>24</v>
      </c>
      <c r="D43" s="115" t="s">
        <v>70</v>
      </c>
      <c r="E43" s="115" t="s">
        <v>170</v>
      </c>
      <c r="F43" s="115" t="s">
        <v>39</v>
      </c>
      <c r="G43" s="32"/>
      <c r="H43" s="32"/>
      <c r="I43" s="32"/>
      <c r="J43" s="123">
        <v>46215.0</v>
      </c>
      <c r="K43" s="115" t="s">
        <v>32</v>
      </c>
      <c r="L43" s="32"/>
      <c r="M43" s="115" t="s">
        <v>374</v>
      </c>
    </row>
    <row r="44" ht="21.75" customHeight="1">
      <c r="A44" s="28"/>
      <c r="B44" s="117">
        <v>4.4428814E7</v>
      </c>
      <c r="C44" s="117" t="s">
        <v>24</v>
      </c>
      <c r="D44" s="115" t="s">
        <v>70</v>
      </c>
      <c r="E44" s="117" t="s">
        <v>20</v>
      </c>
      <c r="F44" s="117" t="s">
        <v>9</v>
      </c>
      <c r="G44" s="28"/>
      <c r="H44" s="28"/>
      <c r="I44" s="28"/>
      <c r="J44" s="145">
        <v>46214.0</v>
      </c>
      <c r="K44" s="117" t="s">
        <v>32</v>
      </c>
      <c r="L44" s="28"/>
      <c r="M44" s="117" t="s">
        <v>375</v>
      </c>
    </row>
    <row r="45" ht="21.75" customHeight="1">
      <c r="A45" s="32"/>
      <c r="B45" s="115" t="s">
        <v>376</v>
      </c>
      <c r="C45" s="32"/>
      <c r="D45" s="115" t="s">
        <v>70</v>
      </c>
      <c r="E45" s="115" t="s">
        <v>69</v>
      </c>
      <c r="F45" s="115" t="s">
        <v>9</v>
      </c>
      <c r="G45" s="32"/>
      <c r="H45" s="32"/>
      <c r="I45" s="32"/>
      <c r="J45" s="33"/>
      <c r="K45" s="115" t="s">
        <v>22</v>
      </c>
      <c r="L45" s="32"/>
      <c r="M45" s="115" t="s">
        <v>377</v>
      </c>
    </row>
    <row r="46" ht="21.75" customHeight="1">
      <c r="A46" s="117" t="s">
        <v>378</v>
      </c>
      <c r="B46" s="117">
        <v>9.8416614E7</v>
      </c>
      <c r="C46" s="117" t="s">
        <v>12</v>
      </c>
      <c r="D46" s="117" t="s">
        <v>70</v>
      </c>
      <c r="E46" s="117" t="s">
        <v>71</v>
      </c>
      <c r="F46" s="117" t="s">
        <v>9</v>
      </c>
      <c r="G46" s="28"/>
      <c r="H46" s="28"/>
      <c r="I46" s="28"/>
      <c r="J46" s="145">
        <v>46214.0</v>
      </c>
      <c r="K46" s="117" t="s">
        <v>32</v>
      </c>
      <c r="L46" s="28"/>
      <c r="M46" s="117" t="s">
        <v>379</v>
      </c>
    </row>
    <row r="47" ht="21.75" customHeight="1">
      <c r="A47" s="117" t="s">
        <v>380</v>
      </c>
      <c r="B47" s="117">
        <v>2.7595599E7</v>
      </c>
      <c r="C47" s="117" t="s">
        <v>381</v>
      </c>
      <c r="D47" s="117" t="s">
        <v>70</v>
      </c>
      <c r="E47" s="117" t="s">
        <v>100</v>
      </c>
      <c r="F47" s="117" t="s">
        <v>14</v>
      </c>
      <c r="G47" s="117"/>
      <c r="H47" s="117"/>
      <c r="I47" s="117"/>
      <c r="J47" s="117"/>
      <c r="K47" s="117" t="s">
        <v>5</v>
      </c>
      <c r="L47" s="117"/>
      <c r="M47" s="117" t="s">
        <v>382</v>
      </c>
      <c r="N47" s="141"/>
    </row>
    <row r="48" ht="21.75" customHeight="1">
      <c r="A48" s="184" t="s">
        <v>383</v>
      </c>
      <c r="B48" s="185">
        <v>4.8058312E7</v>
      </c>
      <c r="C48" s="165"/>
      <c r="D48" s="186" t="s">
        <v>70</v>
      </c>
      <c r="E48" s="187" t="s">
        <v>384</v>
      </c>
      <c r="F48" s="187" t="s">
        <v>385</v>
      </c>
      <c r="G48" s="165"/>
      <c r="H48" s="165"/>
      <c r="I48" s="165"/>
      <c r="J48" s="188"/>
      <c r="K48" s="165" t="s">
        <v>32</v>
      </c>
      <c r="L48" s="165"/>
      <c r="M48" s="187" t="s">
        <v>386</v>
      </c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 ht="21.75" customHeight="1">
      <c r="A49" s="184" t="s">
        <v>387</v>
      </c>
      <c r="B49" s="185">
        <v>9.294078E7</v>
      </c>
      <c r="C49" s="162" t="s">
        <v>381</v>
      </c>
      <c r="D49" s="186" t="s">
        <v>70</v>
      </c>
      <c r="E49" s="187" t="s">
        <v>80</v>
      </c>
      <c r="F49" s="187" t="s">
        <v>388</v>
      </c>
      <c r="G49" s="165"/>
      <c r="H49" s="184" t="s">
        <v>389</v>
      </c>
      <c r="I49" s="165"/>
      <c r="J49" s="190">
        <v>46235.0</v>
      </c>
      <c r="K49" s="165" t="s">
        <v>32</v>
      </c>
      <c r="L49" s="165"/>
      <c r="M49" s="187" t="s">
        <v>390</v>
      </c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 ht="21.75" customHeight="1">
      <c r="A50" s="169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2"/>
    </row>
    <row r="51" ht="21.75" customHeight="1">
      <c r="A51" s="117" t="s">
        <v>391</v>
      </c>
      <c r="B51" s="117">
        <v>2.4530182E7</v>
      </c>
      <c r="C51" s="117" t="s">
        <v>12</v>
      </c>
      <c r="D51" s="117" t="s">
        <v>77</v>
      </c>
      <c r="E51" s="117" t="s">
        <v>99</v>
      </c>
      <c r="F51" s="117" t="s">
        <v>63</v>
      </c>
      <c r="G51" s="28"/>
      <c r="H51" s="28"/>
      <c r="I51" s="28"/>
      <c r="J51" s="30"/>
      <c r="K51" s="117" t="s">
        <v>32</v>
      </c>
      <c r="L51" s="28"/>
      <c r="M51" s="117" t="s">
        <v>287</v>
      </c>
      <c r="N51" s="118"/>
    </row>
    <row r="52" ht="21.75" customHeight="1">
      <c r="A52" s="117" t="s">
        <v>392</v>
      </c>
      <c r="B52" s="117">
        <v>2.2223384E7</v>
      </c>
      <c r="C52" s="117" t="s">
        <v>7</v>
      </c>
      <c r="D52" s="117" t="s">
        <v>77</v>
      </c>
      <c r="E52" s="117" t="s">
        <v>82</v>
      </c>
      <c r="F52" s="117" t="s">
        <v>63</v>
      </c>
      <c r="G52" s="28"/>
      <c r="H52" s="28"/>
      <c r="I52" s="28"/>
      <c r="J52" s="30"/>
      <c r="K52" s="117" t="s">
        <v>10</v>
      </c>
      <c r="L52" s="28"/>
      <c r="M52" s="117" t="s">
        <v>393</v>
      </c>
      <c r="N52" s="137"/>
    </row>
    <row r="53" ht="21.75" customHeight="1">
      <c r="A53" s="138" t="s">
        <v>394</v>
      </c>
      <c r="B53" s="138">
        <v>2.0238956E7</v>
      </c>
      <c r="C53" s="138" t="s">
        <v>7</v>
      </c>
      <c r="D53" s="138" t="s">
        <v>77</v>
      </c>
      <c r="E53" s="138" t="s">
        <v>76</v>
      </c>
      <c r="F53" s="138" t="s">
        <v>9</v>
      </c>
      <c r="G53" s="138" t="s">
        <v>395</v>
      </c>
      <c r="H53" s="139"/>
      <c r="I53" s="139"/>
      <c r="J53" s="140">
        <v>46214.0</v>
      </c>
      <c r="K53" s="138" t="s">
        <v>396</v>
      </c>
      <c r="L53" s="139"/>
      <c r="M53" s="138" t="s">
        <v>397</v>
      </c>
      <c r="N53" s="137"/>
    </row>
    <row r="54" ht="21.75" customHeight="1">
      <c r="A54" s="191" t="s">
        <v>398</v>
      </c>
      <c r="B54" s="138">
        <v>9.8258015E7</v>
      </c>
      <c r="C54" s="138" t="s">
        <v>19</v>
      </c>
      <c r="D54" s="138" t="s">
        <v>77</v>
      </c>
      <c r="E54" s="138" t="s">
        <v>76</v>
      </c>
      <c r="F54" s="138" t="s">
        <v>9</v>
      </c>
      <c r="G54" s="139"/>
      <c r="H54" s="139"/>
      <c r="I54" s="139"/>
      <c r="J54" s="140">
        <v>46214.0</v>
      </c>
      <c r="K54" s="138" t="s">
        <v>301</v>
      </c>
      <c r="L54" s="139"/>
      <c r="M54" s="138" t="s">
        <v>379</v>
      </c>
      <c r="N54" s="137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ht="21.75" customHeight="1">
      <c r="A55" s="142" t="s">
        <v>399</v>
      </c>
      <c r="B55" s="142">
        <v>2.9753804E7</v>
      </c>
      <c r="C55" s="142" t="s">
        <v>7</v>
      </c>
      <c r="D55" s="142" t="s">
        <v>77</v>
      </c>
      <c r="E55" s="142" t="s">
        <v>171</v>
      </c>
      <c r="F55" s="142" t="s">
        <v>63</v>
      </c>
      <c r="G55" s="143"/>
      <c r="H55" s="143"/>
      <c r="I55" s="143"/>
      <c r="J55" s="144">
        <v>46215.0</v>
      </c>
      <c r="K55" s="142" t="s">
        <v>304</v>
      </c>
      <c r="L55" s="143"/>
      <c r="M55" s="142" t="s">
        <v>304</v>
      </c>
      <c r="N55" s="137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ht="21.75" customHeight="1">
      <c r="A56" s="115" t="s">
        <v>400</v>
      </c>
      <c r="B56" s="32">
        <f>393270264673</f>
        <v>393270264673</v>
      </c>
      <c r="C56" s="115" t="s">
        <v>7</v>
      </c>
      <c r="D56" s="115" t="s">
        <v>77</v>
      </c>
      <c r="E56" s="115" t="s">
        <v>8</v>
      </c>
      <c r="F56" s="117" t="s">
        <v>63</v>
      </c>
      <c r="G56" s="32"/>
      <c r="H56" s="32"/>
      <c r="I56" s="32"/>
      <c r="J56" s="123">
        <v>46240.0</v>
      </c>
      <c r="K56" s="115" t="s">
        <v>32</v>
      </c>
      <c r="L56" s="32"/>
      <c r="M56" s="115" t="s">
        <v>401</v>
      </c>
      <c r="N56" s="137"/>
    </row>
    <row r="57" ht="21.75" customHeight="1">
      <c r="A57" s="115" t="s">
        <v>402</v>
      </c>
      <c r="B57" s="32">
        <f>33666766377</f>
        <v>33666766377</v>
      </c>
      <c r="C57" s="115" t="s">
        <v>7</v>
      </c>
      <c r="D57" s="115" t="s">
        <v>77</v>
      </c>
      <c r="E57" s="115" t="s">
        <v>73</v>
      </c>
      <c r="F57" s="117" t="s">
        <v>403</v>
      </c>
      <c r="G57" s="115" t="s">
        <v>404</v>
      </c>
      <c r="H57" s="32"/>
      <c r="I57" s="32"/>
      <c r="J57" s="123"/>
      <c r="K57" s="115" t="s">
        <v>32</v>
      </c>
      <c r="L57" s="32"/>
      <c r="M57" s="115"/>
      <c r="N57" s="137"/>
    </row>
    <row r="58" ht="21.75" customHeight="1">
      <c r="A58" s="165"/>
      <c r="B58" s="192" t="s">
        <v>405</v>
      </c>
      <c r="C58" s="193"/>
      <c r="D58" s="194" t="s">
        <v>77</v>
      </c>
      <c r="E58" s="195" t="s">
        <v>173</v>
      </c>
      <c r="F58" s="195" t="s">
        <v>406</v>
      </c>
      <c r="G58" s="165"/>
      <c r="H58" s="166"/>
      <c r="I58" s="166"/>
      <c r="J58" s="188"/>
      <c r="K58" s="165"/>
      <c r="L58" s="166"/>
      <c r="M58" s="165"/>
      <c r="N58" s="196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21.75" customHeight="1">
      <c r="A59" s="197" t="s">
        <v>407</v>
      </c>
      <c r="B59" s="198">
        <v>9.8468478E7</v>
      </c>
      <c r="C59" s="171"/>
      <c r="D59" s="197" t="s">
        <v>408</v>
      </c>
      <c r="E59" s="171"/>
      <c r="F59" s="199" t="s">
        <v>409</v>
      </c>
      <c r="G59" s="171"/>
      <c r="H59" s="173"/>
      <c r="I59" s="173"/>
      <c r="J59" s="175"/>
      <c r="K59" s="176" t="s">
        <v>304</v>
      </c>
      <c r="L59" s="173"/>
      <c r="M59" s="199" t="s">
        <v>408</v>
      </c>
      <c r="N59" s="200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21.75" customHeight="1">
      <c r="A60" s="201" t="s">
        <v>410</v>
      </c>
      <c r="B60" s="202">
        <v>9.5949E7</v>
      </c>
      <c r="C60" s="201" t="s">
        <v>7</v>
      </c>
      <c r="D60" s="203" t="s">
        <v>408</v>
      </c>
      <c r="E60" s="201" t="s">
        <v>73</v>
      </c>
      <c r="F60" s="203" t="s">
        <v>63</v>
      </c>
      <c r="G60" s="204" t="s">
        <v>411</v>
      </c>
      <c r="H60" s="173"/>
      <c r="I60" s="173"/>
      <c r="J60" s="175"/>
      <c r="K60" s="205" t="s">
        <v>304</v>
      </c>
      <c r="L60" s="173"/>
      <c r="M60" s="171"/>
      <c r="N60" s="196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21.75" customHeight="1">
      <c r="A61" s="165"/>
      <c r="B61" s="166"/>
      <c r="C61" s="165"/>
      <c r="D61" s="194" t="s">
        <v>77</v>
      </c>
      <c r="E61" s="195" t="s">
        <v>185</v>
      </c>
      <c r="F61" s="194" t="s">
        <v>412</v>
      </c>
      <c r="G61" s="206" t="s">
        <v>413</v>
      </c>
      <c r="H61" s="166"/>
      <c r="I61" s="166"/>
      <c r="J61" s="207" t="s">
        <v>414</v>
      </c>
      <c r="K61" s="208" t="s">
        <v>32</v>
      </c>
      <c r="L61" s="166"/>
      <c r="M61" s="165"/>
      <c r="N61" s="196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21.75" customHeight="1">
      <c r="A62" s="169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2"/>
      <c r="N62" s="137"/>
    </row>
    <row r="63" ht="21.75" customHeight="1">
      <c r="A63" s="115" t="s">
        <v>283</v>
      </c>
      <c r="B63" s="115">
        <v>5.4934307E7</v>
      </c>
      <c r="C63" s="115" t="s">
        <v>19</v>
      </c>
      <c r="D63" s="115" t="s">
        <v>84</v>
      </c>
      <c r="E63" s="115" t="s">
        <v>284</v>
      </c>
      <c r="F63" s="115" t="s">
        <v>285</v>
      </c>
      <c r="G63" s="32"/>
      <c r="H63" s="115" t="s">
        <v>286</v>
      </c>
      <c r="I63" s="32"/>
      <c r="J63" s="33"/>
      <c r="K63" s="115" t="s">
        <v>46</v>
      </c>
      <c r="L63" s="32"/>
      <c r="M63" s="115" t="s">
        <v>287</v>
      </c>
    </row>
    <row r="64" ht="21.75" customHeight="1">
      <c r="A64" s="142" t="s">
        <v>415</v>
      </c>
      <c r="B64" s="142">
        <v>2.0481859E7</v>
      </c>
      <c r="C64" s="142" t="s">
        <v>7</v>
      </c>
      <c r="D64" s="142" t="s">
        <v>84</v>
      </c>
      <c r="E64" s="142" t="s">
        <v>103</v>
      </c>
      <c r="F64" s="142" t="s">
        <v>26</v>
      </c>
      <c r="G64" s="143"/>
      <c r="H64" s="143"/>
      <c r="I64" s="143"/>
      <c r="J64" s="209"/>
      <c r="K64" s="142" t="s">
        <v>304</v>
      </c>
      <c r="L64" s="143"/>
      <c r="M64" s="142" t="s">
        <v>304</v>
      </c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ht="21.75" customHeight="1">
      <c r="A65" s="142" t="s">
        <v>416</v>
      </c>
      <c r="B65" s="142">
        <v>9.810937E7</v>
      </c>
      <c r="C65" s="142" t="s">
        <v>7</v>
      </c>
      <c r="D65" s="142" t="s">
        <v>84</v>
      </c>
      <c r="E65" s="142" t="s">
        <v>62</v>
      </c>
      <c r="F65" s="142" t="s">
        <v>63</v>
      </c>
      <c r="G65" s="142" t="s">
        <v>417</v>
      </c>
      <c r="H65" s="143"/>
      <c r="I65" s="143"/>
      <c r="J65" s="144">
        <v>46213.0</v>
      </c>
      <c r="K65" s="142" t="s">
        <v>304</v>
      </c>
      <c r="L65" s="143"/>
      <c r="M65" s="142" t="s">
        <v>304</v>
      </c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ht="21.75" customHeight="1">
      <c r="A66" s="117" t="s">
        <v>418</v>
      </c>
      <c r="B66" s="28">
        <f>46707583081</f>
        <v>46707583081</v>
      </c>
      <c r="C66" s="117" t="s">
        <v>7</v>
      </c>
      <c r="D66" s="117" t="s">
        <v>84</v>
      </c>
      <c r="E66" s="117" t="s">
        <v>71</v>
      </c>
      <c r="F66" s="117" t="s">
        <v>63</v>
      </c>
      <c r="G66" s="28"/>
      <c r="H66" s="28"/>
      <c r="I66" s="28"/>
      <c r="J66" s="145">
        <v>46216.0</v>
      </c>
      <c r="K66" s="117" t="s">
        <v>32</v>
      </c>
      <c r="L66" s="28"/>
      <c r="M66" s="117" t="s">
        <v>419</v>
      </c>
    </row>
    <row r="67" ht="21.75" customHeight="1">
      <c r="A67" s="117" t="s">
        <v>418</v>
      </c>
      <c r="B67" s="117">
        <v>5.409827E7</v>
      </c>
      <c r="C67" s="115" t="s">
        <v>19</v>
      </c>
      <c r="D67" s="117" t="s">
        <v>84</v>
      </c>
      <c r="E67" s="117" t="s">
        <v>71</v>
      </c>
      <c r="F67" s="117" t="s">
        <v>63</v>
      </c>
      <c r="G67" s="117" t="s">
        <v>420</v>
      </c>
      <c r="H67" s="28"/>
      <c r="I67" s="28"/>
      <c r="J67" s="145">
        <v>46216.0</v>
      </c>
      <c r="K67" s="115" t="s">
        <v>32</v>
      </c>
      <c r="L67" s="28"/>
      <c r="M67" s="117" t="s">
        <v>421</v>
      </c>
    </row>
    <row r="68" ht="21.75" customHeight="1">
      <c r="A68" s="115" t="s">
        <v>422</v>
      </c>
      <c r="B68" s="32"/>
      <c r="C68" s="115" t="s">
        <v>19</v>
      </c>
      <c r="D68" s="115" t="s">
        <v>84</v>
      </c>
      <c r="E68" s="115" t="s">
        <v>185</v>
      </c>
      <c r="F68" s="115" t="s">
        <v>54</v>
      </c>
      <c r="G68" s="115" t="s">
        <v>423</v>
      </c>
      <c r="H68" s="32"/>
      <c r="I68" s="32"/>
      <c r="J68" s="123">
        <v>46219.0</v>
      </c>
      <c r="K68" s="115" t="s">
        <v>32</v>
      </c>
      <c r="L68" s="32"/>
      <c r="M68" s="115" t="s">
        <v>424</v>
      </c>
    </row>
    <row r="69" ht="21.75" customHeight="1">
      <c r="A69" s="117" t="s">
        <v>425</v>
      </c>
      <c r="B69" s="28">
        <f>32497302646</f>
        <v>32497302646</v>
      </c>
      <c r="C69" s="117" t="s">
        <v>24</v>
      </c>
      <c r="D69" s="117" t="s">
        <v>84</v>
      </c>
      <c r="E69" s="117" t="s">
        <v>40</v>
      </c>
      <c r="F69" s="117" t="s">
        <v>14</v>
      </c>
      <c r="G69" s="117" t="s">
        <v>426</v>
      </c>
      <c r="H69" s="28"/>
      <c r="I69" s="28"/>
      <c r="J69" s="145">
        <v>46218.0</v>
      </c>
      <c r="K69" s="115" t="s">
        <v>46</v>
      </c>
      <c r="L69" s="28"/>
      <c r="M69" s="117" t="s">
        <v>427</v>
      </c>
    </row>
    <row r="70" ht="21.75" customHeight="1">
      <c r="A70" s="32"/>
      <c r="B70" s="115">
        <v>5.4717474E7</v>
      </c>
      <c r="C70" s="117" t="s">
        <v>24</v>
      </c>
      <c r="D70" s="115" t="s">
        <v>84</v>
      </c>
      <c r="E70" s="115" t="s">
        <v>73</v>
      </c>
      <c r="F70" s="115" t="s">
        <v>14</v>
      </c>
      <c r="G70" s="115" t="s">
        <v>428</v>
      </c>
      <c r="H70" s="32"/>
      <c r="I70" s="32"/>
      <c r="J70" s="123">
        <v>46231.0</v>
      </c>
      <c r="K70" s="115" t="s">
        <v>32</v>
      </c>
      <c r="L70" s="32"/>
      <c r="M70" s="115" t="s">
        <v>429</v>
      </c>
    </row>
    <row r="71" ht="21.75" customHeight="1">
      <c r="A71" s="117" t="s">
        <v>430</v>
      </c>
      <c r="B71" s="28"/>
      <c r="C71" s="117" t="s">
        <v>19</v>
      </c>
      <c r="D71" s="28"/>
      <c r="E71" s="117" t="s">
        <v>431</v>
      </c>
      <c r="F71" s="117" t="s">
        <v>9</v>
      </c>
      <c r="G71" s="117" t="s">
        <v>432</v>
      </c>
      <c r="H71" s="28"/>
      <c r="I71" s="28"/>
      <c r="J71" s="30"/>
      <c r="K71" s="117" t="s">
        <v>5</v>
      </c>
      <c r="L71" s="28"/>
      <c r="M71" s="117" t="s">
        <v>433</v>
      </c>
    </row>
    <row r="72" ht="21.75" customHeight="1">
      <c r="A72" s="28"/>
      <c r="B72" s="210">
        <v>9.8330733E7</v>
      </c>
      <c r="C72" s="28"/>
      <c r="D72" s="28"/>
      <c r="E72" s="117" t="s">
        <v>171</v>
      </c>
      <c r="F72" s="117" t="s">
        <v>9</v>
      </c>
      <c r="G72" s="28"/>
      <c r="H72" s="28"/>
      <c r="I72" s="28"/>
      <c r="J72" s="30"/>
      <c r="K72" s="28"/>
      <c r="L72" s="28"/>
      <c r="M72" s="117" t="s">
        <v>275</v>
      </c>
    </row>
    <row r="73" ht="21.75" customHeight="1">
      <c r="A73" s="28"/>
      <c r="B73" s="210">
        <v>2.9747958E7</v>
      </c>
      <c r="C73" s="28"/>
      <c r="D73" s="28"/>
      <c r="E73" s="117" t="s">
        <v>347</v>
      </c>
      <c r="F73" s="117" t="s">
        <v>434</v>
      </c>
      <c r="G73" s="28"/>
      <c r="H73" s="28"/>
      <c r="I73" s="28"/>
      <c r="J73" s="30"/>
      <c r="K73" s="28"/>
      <c r="L73" s="28"/>
      <c r="M73" s="117" t="s">
        <v>435</v>
      </c>
    </row>
    <row r="74" ht="21.75" customHeight="1">
      <c r="A74" s="32"/>
      <c r="B74" s="210">
        <v>2.7779779E7</v>
      </c>
      <c r="C74" s="32"/>
      <c r="D74" s="32"/>
      <c r="E74" s="32"/>
      <c r="F74" s="32"/>
      <c r="G74" s="32"/>
      <c r="H74" s="32"/>
      <c r="I74" s="32"/>
      <c r="J74" s="33"/>
      <c r="K74" s="32"/>
      <c r="L74" s="32"/>
      <c r="M74" s="115" t="s">
        <v>275</v>
      </c>
    </row>
    <row r="75" ht="21.75" customHeight="1">
      <c r="A75" s="32"/>
      <c r="B75" s="115">
        <v>5.5558119E7</v>
      </c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184" t="s">
        <v>436</v>
      </c>
      <c r="B76" s="165"/>
      <c r="C76" s="162" t="s">
        <v>381</v>
      </c>
      <c r="D76" s="211" t="s">
        <v>84</v>
      </c>
      <c r="E76" s="162" t="s">
        <v>173</v>
      </c>
      <c r="F76" s="162" t="s">
        <v>358</v>
      </c>
      <c r="G76" s="166"/>
      <c r="H76" s="166"/>
      <c r="I76" s="166"/>
      <c r="J76" s="167">
        <v>46263.0</v>
      </c>
      <c r="K76" s="212" t="s">
        <v>32</v>
      </c>
      <c r="L76" s="166"/>
      <c r="M76" s="165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21.75" customHeight="1">
      <c r="A77" s="142" t="s">
        <v>437</v>
      </c>
      <c r="B77" s="142">
        <v>9.8771907E7</v>
      </c>
      <c r="C77" s="142" t="s">
        <v>7</v>
      </c>
      <c r="D77" s="143"/>
      <c r="E77" s="142" t="s">
        <v>8</v>
      </c>
      <c r="F77" s="142" t="s">
        <v>438</v>
      </c>
      <c r="G77" s="143"/>
      <c r="H77" s="143"/>
      <c r="I77" s="143"/>
      <c r="J77" s="144">
        <v>46206.0</v>
      </c>
      <c r="K77" s="142" t="s">
        <v>304</v>
      </c>
      <c r="L77" s="143"/>
      <c r="M77" s="142" t="s">
        <v>304</v>
      </c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ht="21.75" customHeight="1">
      <c r="A78" s="159" t="s">
        <v>439</v>
      </c>
      <c r="B78" s="213">
        <v>5.2827136E7</v>
      </c>
      <c r="C78" s="154" t="s">
        <v>381</v>
      </c>
      <c r="D78" s="214" t="s">
        <v>440</v>
      </c>
      <c r="E78" s="159" t="s">
        <v>441</v>
      </c>
      <c r="F78" s="159" t="s">
        <v>358</v>
      </c>
      <c r="G78" s="215" t="s">
        <v>442</v>
      </c>
      <c r="H78" s="150"/>
      <c r="I78" s="150"/>
      <c r="J78" s="216">
        <v>46223.0</v>
      </c>
      <c r="K78" s="150" t="s">
        <v>32</v>
      </c>
      <c r="L78" s="150"/>
      <c r="M78" s="159" t="s">
        <v>443</v>
      </c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21.75" customHeight="1">
      <c r="A79" s="28"/>
      <c r="B79" s="117">
        <v>9.8701776E7</v>
      </c>
      <c r="C79" s="117" t="s">
        <v>7</v>
      </c>
      <c r="D79" s="117" t="s">
        <v>84</v>
      </c>
      <c r="E79" s="117" t="s">
        <v>88</v>
      </c>
      <c r="F79" s="117" t="s">
        <v>14</v>
      </c>
      <c r="G79" s="28"/>
      <c r="H79" s="28"/>
      <c r="I79" s="28"/>
      <c r="J79" s="145">
        <v>46224.0</v>
      </c>
      <c r="K79" s="117" t="s">
        <v>32</v>
      </c>
      <c r="L79" s="28"/>
      <c r="M79" s="117" t="s">
        <v>444</v>
      </c>
    </row>
    <row r="80" ht="21.75" customHeight="1">
      <c r="A80" s="115" t="s">
        <v>445</v>
      </c>
      <c r="B80" s="115">
        <v>2.1977369E7</v>
      </c>
      <c r="C80" s="115" t="s">
        <v>7</v>
      </c>
      <c r="D80" s="115" t="s">
        <v>64</v>
      </c>
      <c r="E80" s="115" t="s">
        <v>56</v>
      </c>
      <c r="F80" s="115" t="s">
        <v>60</v>
      </c>
      <c r="G80" s="32"/>
      <c r="H80" s="32"/>
      <c r="I80" s="32"/>
      <c r="J80" s="33"/>
      <c r="K80" s="115" t="s">
        <v>5</v>
      </c>
      <c r="L80" s="32"/>
      <c r="M80" s="32"/>
    </row>
    <row r="81" ht="21.75" customHeight="1">
      <c r="A81" s="117" t="s">
        <v>446</v>
      </c>
      <c r="B81" s="28"/>
      <c r="C81" s="117" t="s">
        <v>19</v>
      </c>
      <c r="D81" s="117" t="s">
        <v>84</v>
      </c>
      <c r="E81" s="117" t="s">
        <v>65</v>
      </c>
      <c r="F81" s="117" t="s">
        <v>9</v>
      </c>
      <c r="G81" s="28"/>
      <c r="H81" s="28"/>
      <c r="I81" s="28"/>
      <c r="J81" s="30"/>
      <c r="K81" s="117" t="s">
        <v>5</v>
      </c>
      <c r="L81" s="28"/>
      <c r="M81" s="28"/>
    </row>
    <row r="82" ht="21.75" customHeight="1">
      <c r="A82" s="115" t="s">
        <v>447</v>
      </c>
      <c r="B82" s="115">
        <v>9.8644748E7</v>
      </c>
      <c r="C82" s="117" t="s">
        <v>19</v>
      </c>
      <c r="D82" s="117" t="s">
        <v>84</v>
      </c>
      <c r="E82" s="115" t="s">
        <v>40</v>
      </c>
      <c r="F82" s="115" t="s">
        <v>21</v>
      </c>
      <c r="G82" s="32"/>
      <c r="H82" s="32"/>
      <c r="I82" s="32"/>
      <c r="J82" s="33"/>
      <c r="K82" s="115" t="s">
        <v>5</v>
      </c>
      <c r="L82" s="32"/>
      <c r="M82" s="32"/>
    </row>
    <row r="83" ht="21.75" customHeight="1">
      <c r="A83" s="28"/>
      <c r="B83" s="117">
        <v>5.6222957E7</v>
      </c>
      <c r="C83" s="117" t="s">
        <v>7</v>
      </c>
      <c r="D83" s="117" t="s">
        <v>72</v>
      </c>
      <c r="E83" s="117" t="s">
        <v>82</v>
      </c>
      <c r="F83" s="28"/>
      <c r="G83" s="28"/>
      <c r="H83" s="28"/>
      <c r="I83" s="28"/>
      <c r="J83" s="30"/>
      <c r="K83" s="117" t="s">
        <v>5</v>
      </c>
      <c r="L83" s="28"/>
      <c r="M83" s="28"/>
    </row>
    <row r="84" ht="21.75" customHeight="1">
      <c r="A84" s="115" t="s">
        <v>448</v>
      </c>
      <c r="B84" s="115">
        <v>9.9383395E7</v>
      </c>
      <c r="C84" s="115" t="s">
        <v>19</v>
      </c>
      <c r="D84" s="115" t="s">
        <v>84</v>
      </c>
      <c r="E84" s="115" t="s">
        <v>62</v>
      </c>
      <c r="F84" s="115" t="s">
        <v>60</v>
      </c>
      <c r="G84" s="32"/>
      <c r="H84" s="32"/>
      <c r="I84" s="32"/>
      <c r="J84" s="33"/>
      <c r="K84" s="115" t="s">
        <v>32</v>
      </c>
      <c r="L84" s="32"/>
      <c r="M84" s="115" t="s">
        <v>449</v>
      </c>
    </row>
    <row r="85" ht="21.75" customHeight="1">
      <c r="A85" s="173" t="s">
        <v>450</v>
      </c>
      <c r="B85" s="217">
        <v>5.8207343E7</v>
      </c>
      <c r="C85" s="173" t="s">
        <v>7</v>
      </c>
      <c r="D85" s="173" t="s">
        <v>84</v>
      </c>
      <c r="E85" s="173" t="s">
        <v>451</v>
      </c>
      <c r="F85" s="173" t="s">
        <v>452</v>
      </c>
      <c r="G85" s="173" t="s">
        <v>453</v>
      </c>
      <c r="H85" s="173"/>
      <c r="I85" s="173"/>
      <c r="J85" s="175" t="s">
        <v>454</v>
      </c>
      <c r="K85" s="218" t="s">
        <v>304</v>
      </c>
      <c r="L85" s="173"/>
      <c r="M85" s="173" t="s">
        <v>455</v>
      </c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21.75" customHeight="1">
      <c r="A86" s="115" t="s">
        <v>456</v>
      </c>
      <c r="B86" s="32"/>
      <c r="C86" s="115" t="s">
        <v>19</v>
      </c>
      <c r="D86" s="115" t="s">
        <v>84</v>
      </c>
      <c r="E86" s="115" t="s">
        <v>85</v>
      </c>
      <c r="F86" s="115" t="s">
        <v>9</v>
      </c>
      <c r="G86" s="32"/>
      <c r="H86" s="32"/>
      <c r="I86" s="32"/>
      <c r="J86" s="123">
        <v>46235.0</v>
      </c>
      <c r="K86" s="115" t="s">
        <v>5</v>
      </c>
      <c r="L86" s="32"/>
      <c r="M86" s="115" t="s">
        <v>457</v>
      </c>
    </row>
    <row r="87" ht="21.75" customHeight="1">
      <c r="A87" s="28"/>
      <c r="B87" s="28"/>
      <c r="C87" s="28"/>
      <c r="D87" s="28"/>
      <c r="E87" s="28"/>
      <c r="F87" s="28"/>
      <c r="G87" s="28"/>
      <c r="H87" s="28"/>
      <c r="I87" s="28"/>
      <c r="J87" s="30"/>
      <c r="K87" s="28"/>
      <c r="L87" s="28"/>
      <c r="M87" s="28"/>
    </row>
    <row r="88" ht="21.75" customHeight="1">
      <c r="A88" s="32"/>
      <c r="B88" s="32"/>
      <c r="C88" s="32"/>
      <c r="D88" s="32"/>
      <c r="E88" s="32"/>
      <c r="F88" s="32"/>
      <c r="G88" s="32"/>
      <c r="H88" s="32"/>
      <c r="I88" s="32"/>
      <c r="J88" s="33"/>
      <c r="K88" s="32"/>
      <c r="L88" s="32"/>
      <c r="M88" s="32"/>
    </row>
    <row r="89" ht="21.75" customHeight="1">
      <c r="A89" s="28"/>
      <c r="B89" s="28"/>
      <c r="C89" s="28"/>
      <c r="D89" s="28"/>
      <c r="E89" s="28"/>
      <c r="F89" s="28"/>
      <c r="G89" s="28"/>
      <c r="H89" s="28"/>
      <c r="I89" s="28"/>
      <c r="J89" s="30"/>
      <c r="K89" s="28"/>
      <c r="L89" s="28"/>
      <c r="M89" s="28"/>
    </row>
    <row r="90" ht="21.75" customHeight="1">
      <c r="A90" s="32"/>
      <c r="B90" s="32"/>
      <c r="C90" s="32"/>
      <c r="D90" s="32"/>
      <c r="E90" s="32"/>
      <c r="F90" s="32"/>
      <c r="G90" s="32"/>
      <c r="H90" s="32"/>
      <c r="I90" s="32"/>
      <c r="J90" s="33"/>
      <c r="K90" s="32"/>
      <c r="L90" s="32"/>
      <c r="M90" s="32"/>
    </row>
    <row r="91" ht="21.75" customHeight="1">
      <c r="A91" s="28"/>
      <c r="B91" s="28"/>
      <c r="C91" s="28"/>
      <c r="D91" s="28"/>
      <c r="E91" s="28"/>
      <c r="F91" s="28"/>
      <c r="G91" s="28"/>
      <c r="H91" s="28"/>
      <c r="I91" s="28"/>
      <c r="J91" s="30"/>
      <c r="K91" s="28"/>
      <c r="L91" s="28"/>
      <c r="M91" s="28"/>
    </row>
    <row r="92" ht="21.75" customHeight="1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2"/>
      <c r="L92" s="32"/>
      <c r="M92" s="32"/>
    </row>
    <row r="93" ht="21.75" customHeight="1">
      <c r="A93" s="28"/>
      <c r="B93" s="28"/>
      <c r="C93" s="28"/>
      <c r="D93" s="28"/>
      <c r="E93" s="28"/>
      <c r="F93" s="28"/>
      <c r="G93" s="28"/>
      <c r="H93" s="28"/>
      <c r="I93" s="28"/>
      <c r="J93" s="30"/>
      <c r="K93" s="28"/>
      <c r="L93" s="28"/>
      <c r="M93" s="28"/>
    </row>
    <row r="94" ht="21.75" customHeight="1">
      <c r="A94" s="32"/>
      <c r="B94" s="32"/>
      <c r="C94" s="32"/>
      <c r="D94" s="32"/>
      <c r="E94" s="32"/>
      <c r="F94" s="32"/>
      <c r="G94" s="32"/>
      <c r="H94" s="32"/>
      <c r="I94" s="32"/>
      <c r="J94" s="33"/>
      <c r="K94" s="32"/>
      <c r="L94" s="32"/>
      <c r="M94" s="32"/>
    </row>
    <row r="95" ht="21.75" customHeight="1">
      <c r="A95" s="28"/>
      <c r="B95" s="28"/>
      <c r="C95" s="28"/>
      <c r="D95" s="28"/>
      <c r="E95" s="28"/>
      <c r="F95" s="28"/>
      <c r="G95" s="28"/>
      <c r="H95" s="28"/>
      <c r="I95" s="28"/>
      <c r="J95" s="30"/>
      <c r="K95" s="28"/>
      <c r="L95" s="28"/>
      <c r="M95" s="28"/>
    </row>
    <row r="96" ht="21.75" customHeight="1">
      <c r="A96" s="32"/>
      <c r="B96" s="32"/>
      <c r="C96" s="32"/>
      <c r="D96" s="32"/>
      <c r="E96" s="32"/>
      <c r="F96" s="32"/>
      <c r="G96" s="32"/>
      <c r="H96" s="32"/>
      <c r="I96" s="32"/>
      <c r="J96" s="33"/>
      <c r="K96" s="32"/>
      <c r="L96" s="32"/>
      <c r="M96" s="32"/>
    </row>
    <row r="97" ht="21.75" customHeight="1">
      <c r="A97" s="28"/>
      <c r="B97" s="28"/>
      <c r="C97" s="28"/>
      <c r="D97" s="28"/>
      <c r="E97" s="28"/>
      <c r="F97" s="28"/>
      <c r="G97" s="28"/>
      <c r="H97" s="28"/>
      <c r="I97" s="28"/>
      <c r="J97" s="30"/>
      <c r="K97" s="28"/>
      <c r="L97" s="28"/>
      <c r="M97" s="28"/>
    </row>
    <row r="98" ht="21.75" customHeight="1">
      <c r="A98" s="32"/>
      <c r="B98" s="32"/>
      <c r="C98" s="32"/>
      <c r="D98" s="32"/>
      <c r="E98" s="32"/>
      <c r="F98" s="32"/>
      <c r="G98" s="32"/>
      <c r="H98" s="32"/>
      <c r="I98" s="32"/>
      <c r="J98" s="33"/>
      <c r="K98" s="32"/>
      <c r="L98" s="32"/>
      <c r="M98" s="32"/>
    </row>
    <row r="99" ht="21.75" customHeight="1">
      <c r="A99" s="28"/>
      <c r="B99" s="28"/>
      <c r="C99" s="28"/>
      <c r="D99" s="28"/>
      <c r="E99" s="28"/>
      <c r="F99" s="28"/>
      <c r="G99" s="28"/>
      <c r="H99" s="28"/>
      <c r="I99" s="28"/>
      <c r="J99" s="30"/>
      <c r="K99" s="28"/>
      <c r="L99" s="28"/>
      <c r="M99" s="28"/>
    </row>
    <row r="100" ht="21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3"/>
      <c r="K100" s="32"/>
      <c r="L100" s="32"/>
      <c r="M100" s="32"/>
    </row>
    <row r="101" ht="21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30"/>
      <c r="K101" s="28"/>
      <c r="L101" s="28"/>
      <c r="M101" s="28"/>
    </row>
    <row r="102" ht="21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2"/>
      <c r="L102" s="32"/>
      <c r="M102" s="32"/>
    </row>
    <row r="103" ht="21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30"/>
      <c r="K103" s="28"/>
      <c r="L103" s="28"/>
      <c r="M103" s="28"/>
    </row>
    <row r="104" ht="21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3"/>
      <c r="K104" s="32"/>
      <c r="L104" s="32"/>
      <c r="M104" s="32"/>
    </row>
    <row r="105" ht="21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30"/>
      <c r="K105" s="28"/>
      <c r="L105" s="28"/>
      <c r="M105" s="28"/>
    </row>
    <row r="106" ht="21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3"/>
      <c r="K106" s="32"/>
      <c r="L106" s="32"/>
      <c r="M106" s="32"/>
    </row>
    <row r="107" ht="21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30"/>
      <c r="K107" s="28"/>
      <c r="L107" s="28"/>
      <c r="M107" s="28"/>
    </row>
    <row r="108" ht="21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3"/>
      <c r="K108" s="32"/>
      <c r="L108" s="32"/>
      <c r="M108" s="32"/>
    </row>
    <row r="109" ht="21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30"/>
      <c r="K109" s="28"/>
      <c r="L109" s="28"/>
      <c r="M109" s="28"/>
    </row>
    <row r="110" ht="21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3"/>
      <c r="K110" s="32"/>
      <c r="L110" s="32"/>
      <c r="M110" s="32"/>
    </row>
    <row r="111" ht="21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30"/>
      <c r="K111" s="28"/>
      <c r="L111" s="28"/>
      <c r="M111" s="28"/>
    </row>
    <row r="112" ht="21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2"/>
      <c r="L112" s="32"/>
      <c r="M112" s="32"/>
    </row>
    <row r="113" ht="21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30"/>
      <c r="K113" s="28"/>
      <c r="L113" s="28"/>
      <c r="M113" s="28"/>
    </row>
    <row r="114" ht="21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3"/>
      <c r="K114" s="32"/>
      <c r="L114" s="32"/>
      <c r="M114" s="32"/>
    </row>
    <row r="115" ht="21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30"/>
      <c r="K115" s="28"/>
      <c r="L115" s="28"/>
      <c r="M115" s="28"/>
    </row>
    <row r="116" ht="21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3"/>
      <c r="K116" s="32"/>
      <c r="L116" s="32"/>
      <c r="M116" s="32"/>
    </row>
    <row r="117" ht="21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30"/>
      <c r="K117" s="28"/>
      <c r="L117" s="28"/>
      <c r="M117" s="28"/>
    </row>
    <row r="118" ht="21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3"/>
      <c r="K118" s="32"/>
      <c r="L118" s="32"/>
      <c r="M118" s="32"/>
    </row>
    <row r="119" ht="21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30"/>
      <c r="K119" s="28"/>
      <c r="L119" s="28"/>
      <c r="M119" s="28"/>
    </row>
    <row r="120" ht="21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3"/>
      <c r="K120" s="32"/>
      <c r="L120" s="32"/>
      <c r="M120" s="32"/>
    </row>
    <row r="121" ht="21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30"/>
      <c r="K121" s="28"/>
      <c r="L121" s="28"/>
      <c r="M121" s="28"/>
    </row>
    <row r="122" ht="21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2"/>
      <c r="L122" s="32"/>
      <c r="M122" s="32"/>
    </row>
    <row r="123" ht="21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30"/>
      <c r="K123" s="28"/>
      <c r="L123" s="28"/>
      <c r="M123" s="28"/>
    </row>
    <row r="124" ht="21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3"/>
      <c r="K124" s="32"/>
      <c r="L124" s="32"/>
      <c r="M124" s="32"/>
    </row>
    <row r="125" ht="21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30"/>
      <c r="K125" s="28"/>
      <c r="L125" s="28"/>
      <c r="M125" s="28"/>
    </row>
    <row r="126" ht="15.75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20"/>
      <c r="K126" s="219"/>
      <c r="L126" s="219"/>
      <c r="M126" s="219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>
      <c r="C501" s="1"/>
      <c r="D501" s="1"/>
      <c r="E501" s="1"/>
      <c r="F501" s="1"/>
      <c r="J501" s="1"/>
      <c r="K501" s="1"/>
    </row>
    <row r="502" ht="15.75" customHeight="1">
      <c r="C502" s="1"/>
      <c r="D502" s="1"/>
      <c r="E502" s="1"/>
      <c r="F502" s="1"/>
      <c r="J502" s="1"/>
      <c r="K502" s="1"/>
    </row>
    <row r="503" ht="15.75" customHeight="1">
      <c r="C503" s="1"/>
      <c r="D503" s="1"/>
      <c r="E503" s="1"/>
      <c r="F503" s="1"/>
      <c r="J503" s="1"/>
      <c r="K503" s="1"/>
    </row>
    <row r="504" ht="15.75" customHeight="1">
      <c r="C504" s="1"/>
      <c r="D504" s="1"/>
      <c r="E504" s="1"/>
      <c r="F504" s="1"/>
      <c r="J504" s="1"/>
      <c r="K504" s="1"/>
    </row>
    <row r="505" ht="15.75" customHeight="1">
      <c r="C505" s="1"/>
      <c r="D505" s="1"/>
      <c r="E505" s="1"/>
      <c r="F505" s="1"/>
      <c r="J505" s="1"/>
      <c r="K505" s="1"/>
    </row>
    <row r="506" ht="15.75" customHeight="1">
      <c r="C506" s="1"/>
      <c r="D506" s="1"/>
      <c r="E506" s="1"/>
      <c r="F506" s="1"/>
      <c r="J506" s="1"/>
      <c r="K506" s="1"/>
    </row>
    <row r="507" ht="15.75" customHeight="1">
      <c r="C507" s="1"/>
      <c r="D507" s="1"/>
      <c r="E507" s="1"/>
      <c r="F507" s="1"/>
      <c r="J507" s="1"/>
      <c r="K507" s="1"/>
    </row>
    <row r="508" ht="15.75" customHeight="1">
      <c r="C508" s="1"/>
      <c r="D508" s="1"/>
      <c r="E508" s="1"/>
      <c r="F508" s="1"/>
      <c r="J508" s="1"/>
      <c r="K508" s="1"/>
    </row>
    <row r="509" ht="15.75" customHeight="1">
      <c r="C509" s="1"/>
      <c r="D509" s="1"/>
      <c r="E509" s="1"/>
      <c r="F509" s="1"/>
      <c r="J509" s="1"/>
      <c r="K509" s="1"/>
    </row>
    <row r="510" ht="15.75" customHeight="1">
      <c r="C510" s="1"/>
      <c r="D510" s="1"/>
      <c r="E510" s="1"/>
      <c r="F510" s="1"/>
      <c r="J510" s="1"/>
      <c r="K510" s="1"/>
    </row>
    <row r="511" ht="15.75" customHeight="1">
      <c r="C511" s="1"/>
      <c r="D511" s="1"/>
      <c r="E511" s="1"/>
      <c r="F511" s="1"/>
      <c r="J511" s="1"/>
      <c r="K511" s="1"/>
    </row>
    <row r="512" ht="15.75" customHeight="1">
      <c r="C512" s="1"/>
      <c r="D512" s="1"/>
      <c r="E512" s="1"/>
      <c r="F512" s="1"/>
      <c r="J512" s="1"/>
      <c r="K512" s="1"/>
    </row>
    <row r="513" ht="15.75" customHeight="1">
      <c r="C513" s="1"/>
      <c r="D513" s="1"/>
      <c r="E513" s="1"/>
      <c r="F513" s="1"/>
      <c r="J513" s="1"/>
      <c r="K513" s="1"/>
    </row>
    <row r="514" ht="15.75" customHeight="1">
      <c r="C514" s="1"/>
      <c r="D514" s="1"/>
      <c r="E514" s="1"/>
      <c r="F514" s="1"/>
      <c r="J514" s="1"/>
      <c r="K514" s="1"/>
    </row>
    <row r="515" ht="15.75" customHeight="1">
      <c r="C515" s="1"/>
      <c r="D515" s="1"/>
      <c r="E515" s="1"/>
      <c r="F515" s="1"/>
      <c r="J515" s="1"/>
      <c r="K515" s="1"/>
    </row>
    <row r="516" ht="15.75" customHeight="1">
      <c r="C516" s="1"/>
      <c r="D516" s="1"/>
      <c r="E516" s="1"/>
      <c r="F516" s="1"/>
      <c r="J516" s="1"/>
      <c r="K516" s="1"/>
    </row>
    <row r="517" ht="15.75" customHeight="1">
      <c r="C517" s="1"/>
      <c r="D517" s="1"/>
      <c r="E517" s="1"/>
      <c r="F517" s="1"/>
      <c r="J517" s="1"/>
      <c r="K517" s="1"/>
    </row>
    <row r="518" ht="15.75" customHeight="1">
      <c r="C518" s="1"/>
      <c r="D518" s="1"/>
      <c r="E518" s="1"/>
      <c r="F518" s="1"/>
      <c r="J518" s="1"/>
      <c r="K518" s="1"/>
    </row>
    <row r="519" ht="15.75" customHeight="1">
      <c r="C519" s="1"/>
      <c r="D519" s="1"/>
      <c r="E519" s="1"/>
      <c r="F519" s="1"/>
      <c r="J519" s="1"/>
      <c r="K519" s="1"/>
    </row>
    <row r="520" ht="15.75" customHeight="1">
      <c r="C520" s="1"/>
      <c r="D520" s="1"/>
      <c r="E520" s="1"/>
      <c r="F520" s="1"/>
      <c r="J520" s="1"/>
      <c r="K520" s="1"/>
    </row>
    <row r="521" ht="15.75" customHeight="1">
      <c r="C521" s="1"/>
      <c r="D521" s="1"/>
      <c r="E521" s="1"/>
      <c r="F521" s="1"/>
      <c r="J521" s="1"/>
      <c r="K521" s="1"/>
    </row>
    <row r="522" ht="15.75" customHeight="1">
      <c r="C522" s="1"/>
      <c r="D522" s="1"/>
      <c r="E522" s="1"/>
      <c r="F522" s="1"/>
      <c r="J522" s="1"/>
      <c r="K522" s="1"/>
    </row>
    <row r="523" ht="15.75" customHeight="1">
      <c r="C523" s="1"/>
      <c r="D523" s="1"/>
      <c r="E523" s="1"/>
      <c r="F523" s="1"/>
      <c r="J523" s="1"/>
      <c r="K523" s="1"/>
    </row>
    <row r="524" ht="15.0" customHeight="1">
      <c r="A524" s="296"/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autoFilter ref="$A$1:$M$45"/>
  <mergeCells count="8">
    <mergeCell ref="A1:M1"/>
    <mergeCell ref="A4:M4"/>
    <mergeCell ref="A8:M8"/>
    <mergeCell ref="A21:M21"/>
    <mergeCell ref="A27:M27"/>
    <mergeCell ref="A37:M37"/>
    <mergeCell ref="A50:M50"/>
    <mergeCell ref="A62:M62"/>
  </mergeCells>
  <conditionalFormatting sqref="A4:M522">
    <cfRule type="expression" dxfId="0" priority="1">
      <formula>$K4="Nouveau lead"</formula>
    </cfRule>
  </conditionalFormatting>
  <conditionalFormatting sqref="A4:M522">
    <cfRule type="expression" dxfId="1" priority="2">
      <formula>$K4="Appel 1 effectué"</formula>
    </cfRule>
  </conditionalFormatting>
  <conditionalFormatting sqref="A4:M522">
    <cfRule type="expression" dxfId="2" priority="3">
      <formula>$K4="En attente VIN/Photo"</formula>
    </cfRule>
  </conditionalFormatting>
  <conditionalFormatting sqref="A4:M522">
    <cfRule type="expression" dxfId="3" priority="4">
      <formula>$K4="Vérification"</formula>
    </cfRule>
  </conditionalFormatting>
  <conditionalFormatting sqref="A4:M522">
    <cfRule type="expression" dxfId="4" priority="5">
      <formula>$K4="Appel 2 effectué"</formula>
    </cfRule>
  </conditionalFormatting>
  <conditionalFormatting sqref="A4:M522">
    <cfRule type="expression" dxfId="5" priority="6">
      <formula>$K4="RDV confirmé"</formula>
    </cfRule>
  </conditionalFormatting>
  <conditionalFormatting sqref="A4:M522">
    <cfRule type="expression" dxfId="6" priority="7">
      <formula>$K4="RDV honoré"</formula>
    </cfRule>
  </conditionalFormatting>
  <conditionalFormatting sqref="A4:M522">
    <cfRule type="expression" dxfId="7" priority="8">
      <formula>$K4="Non faisable"</formula>
    </cfRule>
  </conditionalFormatting>
  <conditionalFormatting sqref="A4:M522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D5:D7 D9:D20 D22:D25 D28:D36 D38:D46 D48:D49 D51:D58 D61 D63:D77 D79:D523">
      <formula1>'_Listes'!$B$2:$B$25</formula1>
    </dataValidation>
    <dataValidation type="date" operator="greaterThan" allowBlank="1" showInputMessage="1" showErrorMessage="1" prompt="Date invalide - Entrez une date valide (ex: 28/06/2025)." sqref="J5:J7 J9:J20 J22:J26 J28:J36 J38:J46 J48:J49 J51:J57 J59:J60 J63:J523">
      <formula1>DATE(2020,1,1)</formula1>
    </dataValidation>
    <dataValidation type="list" allowBlank="1" showInputMessage="1" showErrorMessage="1" prompt="Click and enter a value from the list of items" sqref="K30">
      <formula1>"annulé!"</formula1>
    </dataValidation>
    <dataValidation type="list" allowBlank="1" showInputMessage="1" showErrorMessage="1" prompt="Click and enter a value from the list of items" sqref="F5">
      <formula1>"Alarme + navigation,Carplay + alarme"</formula1>
    </dataValidation>
    <dataValidation type="list" allowBlank="1" showInputMessage="1" showErrorMessage="1" prompt="Click and enter a value from the list of items" sqref="E60">
      <formula1>"Mercedes GLC"</formula1>
    </dataValidation>
    <dataValidation type="list" allowBlank="1" showInputMessage="1" showErrorMessage="1" prompt="Click and enter a value from the list of items" sqref="K64">
      <formula1>"Done"</formula1>
    </dataValidation>
    <dataValidation type="list" allowBlank="1" showInputMessage="1" showErrorMessage="1" prompt="Click and enter a value from the list of items" sqref="F33">
      <formula1>"gadget + navigateur + alarme"</formula1>
    </dataValidation>
    <dataValidation type="list" allowBlank="1" showInputMessage="1" showErrorMessage="1" prompt="Click and enter a value from the list of items" sqref="F32">
      <formula1>"Nvigation + Android Auto"</formula1>
    </dataValidation>
    <dataValidation type="list" allowBlank="1" showInputMessage="1" showErrorMessage="1" prompt="Click and enter a value from the list of items" sqref="E20">
      <formula1>"Mercedes G class  + Porsche"</formula1>
    </dataValidation>
    <dataValidation type="list" allowBlank="1" showInputMessage="1" showErrorMessage="1" prompt="Click and enter a value from the list of items" sqref="F59">
      <formula1>"GPS"</formula1>
    </dataValidation>
    <dataValidation type="list" allowBlank="1" showInputMessage="1" showErrorMessage="1" prompt="Click and enter a value from the list of items" sqref="E49">
      <formula1>"VW Golf 7"</formula1>
    </dataValidation>
    <dataValidation type="list" allowBlank="1" showInputMessage="1" showErrorMessage="1" prompt="Click and enter a value from the list of items" sqref="F57">
      <formula1>"dignostic+alarme"</formula1>
    </dataValidation>
    <dataValidation type="list" allowBlank="1" showInputMessage="1" showErrorMessage="1" prompt="Click and enter a value from the list of items" sqref="C58">
      <formula1>"Alarme"</formula1>
    </dataValidation>
    <dataValidation type="list" allowBlank="1" showInputMessage="1" showErrorMessage="1" prompt="Click and enter a value from the list of items" sqref="E63">
      <formula1>"polo 8"</formula1>
    </dataValidation>
    <dataValidation type="list" allowBlank="1" showInputMessage="1" showErrorMessage="1" prompt="Click and enter a value from the list of items" sqref="F73">
      <formula1>"navigation + alarme"</formula1>
    </dataValidation>
    <dataValidation type="list" allowBlank="1" showInputMessage="1" showErrorMessage="1" prompt="Click and enter a value from the list of items" sqref="F20">
      <formula1>"Navigation+ options cachées"</formula1>
    </dataValidation>
    <dataValidation type="list" allowBlank="1" showInputMessage="1" showErrorMessage="1" prompt="Click and enter a value from the list of items" sqref="E43">
      <formula1>"BMW"</formula1>
    </dataValidation>
    <dataValidation type="list" allowBlank="1" showInputMessage="1" showErrorMessage="1" prompt="Click and enter a value from the list of items" sqref="J58 J61">
      <formula1>"26/07/2026"</formula1>
    </dataValidation>
    <dataValidation type="list" allowBlank="1" showInputMessage="1" showErrorMessage="1" prompt="Click and enter a value from the list of items" sqref="K65">
      <formula1>"Done"</formula1>
    </dataValidation>
    <dataValidation type="list" allowBlank="1" showInputMessage="1" showErrorMessage="1" prompt="Click and enter a value from the list of items" sqref="K24">
      <formula1>"Done"</formula1>
    </dataValidation>
    <dataValidation type="list" allowBlank="1" showInputMessage="1" showErrorMessage="1" prompt="Click and enter a value from the list of items" sqref="C26 C60">
      <formula1>"WhatsApp"</formula1>
    </dataValidation>
    <dataValidation type="list" allowBlank="1" showInputMessage="1" showErrorMessage="1" prompt="Click and enter a value from the list of items" sqref="E26">
      <formula1>"Tiguan"</formula1>
    </dataValidation>
    <dataValidation type="list" allowBlank="1" showInputMessage="1" showErrorMessage="1" prompt="Click and enter a value from the list of items" sqref="E29">
      <formula1>"Seat Leon"</formula1>
    </dataValidation>
    <dataValidation type="list" allowBlank="1" showInputMessage="1" showErrorMessage="1" prompt="Click and enter a value from the list of items" sqref="E58 E76">
      <formula1>"Audi"</formula1>
    </dataValidation>
    <dataValidation type="list" allowBlank="1" showInputMessage="1" showErrorMessage="1" prompt="Click and enter a value from the list of items" sqref="K10">
      <formula1>"indisponible"</formula1>
    </dataValidation>
    <dataValidation type="list" allowBlank="1" showInputMessage="1" showErrorMessage="1" prompt="Click and enter a value from the list of items" sqref="E78">
      <formula1>"Merceds Classe A"</formula1>
    </dataValidation>
    <dataValidation type="list" allowBlank="1" showInputMessage="1" showErrorMessage="1" prompt="Click and enter a value from the list of items" sqref="E18">
      <formula1>"Skoda kushaq"</formula1>
    </dataValidation>
    <dataValidation type="list" allowBlank="1" showInputMessage="1" showErrorMessage="1" prompt="Click and enter a value from the list of items" sqref="K55">
      <formula1>"Done"</formula1>
    </dataValidation>
    <dataValidation type="list" allowBlank="1" showInputMessage="1" showErrorMessage="1" prompt="Click and enter a value from the list of items" sqref="K29">
      <formula1>"non-faisable"</formula1>
    </dataValidation>
    <dataValidation type="list" allowBlank="1" showInputMessage="1" showErrorMessage="1" prompt="Valeur invalide - Choisissez dans la liste." sqref="C5:C7 C9:C20 C22:C25 C28:C36 C38:C46 C48 C51:C57 C59 C61 C63:C75 C77 C79:C523">
      <formula1>'_Listes'!$C$2:$C$8</formula1>
    </dataValidation>
    <dataValidation type="list" allowBlank="1" showInputMessage="1" showErrorMessage="1" prompt="Click and enter a value from the list of items" sqref="K25">
      <formula1>"Done"</formula1>
    </dataValidation>
    <dataValidation type="list" allowBlank="1" showInputMessage="1" showErrorMessage="1" prompt="Click and enter a value from the list of items" sqref="D26">
      <formula1>"Monastir"</formula1>
    </dataValidation>
    <dataValidation type="list" allowBlank="1" showInputMessage="1" showErrorMessage="1" prompt="Valeur invalide - Choisissez dans la liste." sqref="F7 F9:F17 F19 F22:F25 F28 F30:F31 F34:F36 F38:F47 F51:F56 F60 F64:F72 F74:F75 F79:F523">
      <formula1>'_Listes'!$E$2:$E$15</formula1>
    </dataValidation>
    <dataValidation type="list" allowBlank="1" showInputMessage="1" showErrorMessage="1" prompt="Click and enter a value from the list of items" sqref="F26 F76 F78">
      <formula1>"Navigation"</formula1>
    </dataValidation>
    <dataValidation type="list" allowBlank="1" showInputMessage="1" showErrorMessage="1" prompt="Click and enter a value from the list of items" sqref="K77">
      <formula1>"Done"</formula1>
    </dataValidation>
    <dataValidation type="list" allowBlank="1" showInputMessage="1" showErrorMessage="1" prompt="Click and enter a value from the list of items" sqref="K54">
      <formula1>"indisponible"</formula1>
    </dataValidation>
    <dataValidation type="list" allowBlank="1" showInputMessage="1" showErrorMessage="1" prompt="Click and enter a value from the list of items" sqref="F77">
      <formula1>"Android Auto+ Navigation"</formula1>
    </dataValidation>
    <dataValidation type="list" allowBlank="1" showInputMessage="1" showErrorMessage="1" prompt="Click and enter a value from the list of items" sqref="C49 C76 C78">
      <formula1>"messenger"</formula1>
    </dataValidation>
    <dataValidation type="list" allowBlank="1" showInputMessage="1" showErrorMessage="1" prompt="Click and enter a value from the list of items" sqref="K23">
      <formula1>"Done"</formula1>
    </dataValidation>
    <dataValidation type="list" allowBlank="1" showInputMessage="1" showErrorMessage="1" prompt="Click and enter a value from the list of items" sqref="E9">
      <formula1>"VW T-Roc"</formula1>
    </dataValidation>
    <dataValidation type="list" allowBlank="1" showInputMessage="1" showErrorMessage="1" prompt="Click and enter a value from the list of items" sqref="F61">
      <formula1>"Navigation+ caméra de récul+ options cachées"</formula1>
    </dataValidation>
    <dataValidation type="list" allowBlank="1" showInputMessage="1" showErrorMessage="1" prompt="Click and enter a value from the list of items" sqref="K26 K48:K49 K58 K61 K78">
      <formula1>"RDV confirmé"</formula1>
    </dataValidation>
    <dataValidation type="list" allowBlank="1" showInputMessage="1" showErrorMessage="1" prompt="Click and enter a value from the list of items" sqref="E48">
      <formula1>"BMW x2 2021"</formula1>
    </dataValidation>
    <dataValidation type="list" allowBlank="1" showInputMessage="1" showErrorMessage="1" prompt="Click and enter a value from the list of items" sqref="K53">
      <formula1>"annulation"</formula1>
    </dataValidation>
    <dataValidation type="list" allowBlank="1" showInputMessage="1" showErrorMessage="1" prompt="Click and enter a value from the list of items" sqref="E33:E36 E73">
      <formula1>"mercedes"</formula1>
    </dataValidation>
    <dataValidation type="list" allowBlank="1" showInputMessage="1" showErrorMessage="1" prompt="Click and enter a value from the list of items" sqref="E22">
      <formula1>"Taigo"</formula1>
    </dataValidation>
    <dataValidation type="list" allowBlank="1" showInputMessage="1" showErrorMessage="1" prompt="Click and enter a value from the list of items" sqref="F48">
      <formula1>"Navigation+ CarPlay"</formula1>
    </dataValidation>
    <dataValidation type="list" allowBlank="1" showInputMessage="1" showErrorMessage="1" prompt="Click and enter a value from the list of items" sqref="F63">
      <formula1>"App connect"</formula1>
    </dataValidation>
    <dataValidation type="list" allowBlank="1" showInputMessage="1" showErrorMessage="1" prompt="Click and enter a value from the list of items" sqref="F29">
      <formula1>"Full Link"</formula1>
    </dataValidation>
    <dataValidation type="list" allowBlank="1" showInputMessage="1" showErrorMessage="1" prompt="Click and enter a value from the list of items" sqref="E19">
      <formula1>"Mercedes "</formula1>
    </dataValidation>
    <dataValidation type="list" allowBlank="1" showInputMessage="1" showErrorMessage="1" prompt="Click and enter a value from the list of items" sqref="E55 E72">
      <formula1>"Mercedes"</formula1>
    </dataValidation>
    <dataValidation type="list" allowBlank="1" showInputMessage="1" showErrorMessage="1" prompt="Click and enter a value from the list of items" sqref="E71">
      <formula1>"CLA"</formula1>
    </dataValidation>
    <dataValidation type="list" allowBlank="1" showInputMessage="1" showErrorMessage="1" prompt="Click and enter a value from the list of items" sqref="F58">
      <formula1>"Carplay"</formula1>
    </dataValidation>
    <dataValidation type="list" allowBlank="1" showInputMessage="1" showErrorMessage="1" prompt="Click and enter a value from the list of items" sqref="F49">
      <formula1>"CarPlay"</formula1>
    </dataValidation>
    <dataValidation type="list" allowBlank="1" showInputMessage="1" showErrorMessage="1" prompt="Click and enter a value from the list of items" sqref="K11 K15:K16 K34:K36 K59:K60 K85">
      <formula1>"Done"</formula1>
    </dataValidation>
    <dataValidation type="list" allowBlank="1" showInputMessage="1" showErrorMessage="1" prompt="Click and enter a value from the list of items" sqref="D59:D60">
      <formula1>"Msaken"</formula1>
    </dataValidation>
    <dataValidation type="list" allowBlank="1" showInputMessage="1" showErrorMessage="1" prompt="Click and enter a value from the list of items" sqref="D78">
      <formula1>"jammel"</formula1>
    </dataValidation>
    <dataValidation type="list" allowBlank="1" showInputMessage="1" showErrorMessage="1" prompt="Click and enter a value from the list of items" sqref="F6">
      <formula1>"Alarme + navigation"</formula1>
    </dataValidation>
    <dataValidation type="list" allowBlank="1" showInputMessage="1" showErrorMessage="1" prompt="Click and enter a value from the list of items" sqref="E61 E68">
      <formula1>"Mercedes CLA"</formula1>
    </dataValidation>
    <dataValidation type="list" allowBlank="1" showInputMessage="1" showErrorMessage="1" prompt="Click and enter a value from the list of items" sqref="E13">
      <formula1>"Seat Arona"</formula1>
    </dataValidation>
    <dataValidation type="list" allowBlank="1" showInputMessage="1" showErrorMessage="1" prompt="Click and enter a value from the list of items" sqref="E15:E16">
      <formula1>"Seat"</formula1>
    </dataValidation>
    <dataValidation type="list" allowBlank="1" showInputMessage="1" showErrorMessage="1" prompt="Click and enter a value from the list of items" sqref="F18">
      <formula1>"CarPlay + Android Auto"</formula1>
    </dataValidation>
    <dataValidation type="list" allowBlank="1" showInputMessage="1" showErrorMessage="1" prompt="Valeur invalide - Choisissez dans la liste." sqref="E5:E7 E10:E12 E14 E17 E23:E25 E28 E30:E32 E38:E42 E44:E46 E51:E54 E56:E57 E59 E64:E67 E69:E70 E74:E75 E77 E79:E523">
      <formula1>'_Listes'!$D$2:$D$42</formula1>
    </dataValidation>
    <dataValidation type="list" allowBlank="1" showInputMessage="1" showErrorMessage="1" prompt="Click and enter a value from range" sqref="K5:K7 K9 K12:K14 K17:K20 K22 K28 K31:K33 K38:K47 K51:K52 K56:K57 K63 K66:K76 K79:K84 K86:K523">
      <formula1>'_Listes'!$A$2:$A$10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458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115" t="s">
        <v>400</v>
      </c>
      <c r="B4" s="32">
        <f>393270264673</f>
        <v>393270264673</v>
      </c>
      <c r="C4" s="115" t="s">
        <v>7</v>
      </c>
      <c r="D4" s="115" t="s">
        <v>77</v>
      </c>
      <c r="E4" s="115" t="s">
        <v>8</v>
      </c>
      <c r="F4" s="117" t="s">
        <v>63</v>
      </c>
      <c r="G4" s="32"/>
      <c r="H4" s="32"/>
      <c r="I4" s="32"/>
      <c r="J4" s="123">
        <v>46240.0</v>
      </c>
      <c r="K4" s="115" t="s">
        <v>32</v>
      </c>
      <c r="L4" s="32"/>
      <c r="M4" s="115" t="s">
        <v>401</v>
      </c>
    </row>
    <row r="5" ht="21.75" customHeight="1">
      <c r="A5" s="221" t="s">
        <v>459</v>
      </c>
      <c r="B5" s="222">
        <v>9.6529697E7</v>
      </c>
      <c r="C5" s="221" t="s">
        <v>19</v>
      </c>
      <c r="D5" s="223" t="s">
        <v>77</v>
      </c>
      <c r="E5" s="221" t="s">
        <v>108</v>
      </c>
      <c r="F5" s="223" t="s">
        <v>460</v>
      </c>
      <c r="G5" s="224"/>
      <c r="H5" s="224"/>
      <c r="I5" s="224"/>
      <c r="J5" s="225"/>
      <c r="K5" s="226" t="s">
        <v>32</v>
      </c>
      <c r="L5" s="224"/>
      <c r="M5" s="221" t="s">
        <v>461</v>
      </c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8"/>
    </row>
    <row r="6" ht="21.75" customHeight="1">
      <c r="A6" s="223" t="s">
        <v>462</v>
      </c>
      <c r="B6" s="229">
        <v>9.8460459E7</v>
      </c>
      <c r="C6" s="223" t="s">
        <v>19</v>
      </c>
      <c r="D6" s="223" t="s">
        <v>77</v>
      </c>
      <c r="E6" s="223" t="s">
        <v>62</v>
      </c>
      <c r="F6" s="223" t="s">
        <v>14</v>
      </c>
      <c r="G6" s="223" t="s">
        <v>463</v>
      </c>
      <c r="H6" s="230"/>
      <c r="I6" s="230"/>
      <c r="J6" s="231"/>
      <c r="K6" s="232" t="s">
        <v>46</v>
      </c>
      <c r="L6" s="230"/>
      <c r="M6" s="233" t="s">
        <v>464</v>
      </c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8"/>
    </row>
    <row r="7" ht="21.75" customHeight="1">
      <c r="A7" s="234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2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ht="21.75" customHeight="1">
      <c r="A8" s="28"/>
      <c r="B8" s="117">
        <v>9.8300008E7</v>
      </c>
      <c r="C8" s="117" t="s">
        <v>19</v>
      </c>
      <c r="D8" s="117" t="s">
        <v>68</v>
      </c>
      <c r="E8" s="117" t="s">
        <v>40</v>
      </c>
      <c r="F8" s="117" t="s">
        <v>344</v>
      </c>
      <c r="G8" s="28"/>
      <c r="H8" s="28"/>
      <c r="I8" s="28"/>
      <c r="J8" s="145">
        <v>46239.0</v>
      </c>
      <c r="K8" s="117" t="s">
        <v>32</v>
      </c>
      <c r="L8" s="28"/>
      <c r="M8" s="117" t="s">
        <v>345</v>
      </c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ht="21.75" customHeight="1">
      <c r="A9" s="117" t="s">
        <v>465</v>
      </c>
      <c r="B9" s="117">
        <v>3.93475186915E11</v>
      </c>
      <c r="C9" s="117" t="s">
        <v>19</v>
      </c>
      <c r="D9" s="117" t="s">
        <v>84</v>
      </c>
      <c r="E9" s="117" t="s">
        <v>80</v>
      </c>
      <c r="F9" s="117" t="s">
        <v>14</v>
      </c>
      <c r="G9" s="28"/>
      <c r="H9" s="28"/>
      <c r="I9" s="28"/>
      <c r="J9" s="30"/>
      <c r="K9" s="117" t="s">
        <v>5</v>
      </c>
      <c r="L9" s="28"/>
      <c r="M9" s="117" t="s">
        <v>466</v>
      </c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ht="21.75" customHeight="1">
      <c r="A10" s="142" t="s">
        <v>467</v>
      </c>
      <c r="B10" s="142">
        <v>2.1151957E7</v>
      </c>
      <c r="C10" s="142" t="s">
        <v>12</v>
      </c>
      <c r="D10" s="142" t="s">
        <v>84</v>
      </c>
      <c r="E10" s="142" t="s">
        <v>8</v>
      </c>
      <c r="F10" s="142" t="s">
        <v>9</v>
      </c>
      <c r="G10" s="143"/>
      <c r="H10" s="143"/>
      <c r="I10" s="143"/>
      <c r="J10" s="144">
        <v>46235.0</v>
      </c>
      <c r="K10" s="142" t="s">
        <v>304</v>
      </c>
      <c r="L10" s="143"/>
      <c r="M10" s="142" t="s">
        <v>304</v>
      </c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21.75" customHeight="1">
      <c r="A11" s="143"/>
      <c r="B11" s="143"/>
      <c r="C11" s="142" t="s">
        <v>7</v>
      </c>
      <c r="D11" s="143"/>
      <c r="E11" s="142" t="s">
        <v>468</v>
      </c>
      <c r="F11" s="142" t="s">
        <v>469</v>
      </c>
      <c r="G11" s="143"/>
      <c r="H11" s="143"/>
      <c r="I11" s="143"/>
      <c r="J11" s="209"/>
      <c r="K11" s="142" t="s">
        <v>304</v>
      </c>
      <c r="L11" s="143"/>
      <c r="M11" s="142" t="s">
        <v>304</v>
      </c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ht="21.75" customHeight="1">
      <c r="A12" s="143"/>
      <c r="B12" s="143"/>
      <c r="C12" s="142" t="s">
        <v>7</v>
      </c>
      <c r="D12" s="143"/>
      <c r="E12" s="142" t="s">
        <v>171</v>
      </c>
      <c r="F12" s="142" t="s">
        <v>469</v>
      </c>
      <c r="G12" s="143"/>
      <c r="H12" s="143"/>
      <c r="I12" s="143"/>
      <c r="J12" s="209"/>
      <c r="K12" s="142" t="s">
        <v>304</v>
      </c>
      <c r="L12" s="143"/>
      <c r="M12" s="143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ht="21.75" customHeight="1">
      <c r="A13" s="235"/>
      <c r="B13" s="236">
        <v>5.8075828E7</v>
      </c>
      <c r="C13" s="237" t="s">
        <v>7</v>
      </c>
      <c r="D13" s="237" t="s">
        <v>84</v>
      </c>
      <c r="E13" s="237" t="s">
        <v>44</v>
      </c>
      <c r="F13" s="237" t="s">
        <v>9</v>
      </c>
      <c r="G13" s="235"/>
      <c r="H13" s="235"/>
      <c r="I13" s="235"/>
      <c r="J13" s="238">
        <v>46238.0</v>
      </c>
      <c r="K13" s="239" t="s">
        <v>32</v>
      </c>
      <c r="L13" s="235"/>
      <c r="M13" s="235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</row>
    <row r="14" ht="40.5" customHeight="1">
      <c r="A14" s="241" t="s">
        <v>470</v>
      </c>
      <c r="B14" s="242"/>
      <c r="C14" s="241" t="s">
        <v>12</v>
      </c>
      <c r="D14" s="242"/>
      <c r="E14" s="241" t="s">
        <v>80</v>
      </c>
      <c r="F14" s="241" t="s">
        <v>14</v>
      </c>
      <c r="G14" s="242"/>
      <c r="H14" s="242"/>
      <c r="I14" s="242"/>
      <c r="J14" s="243"/>
      <c r="K14" s="241" t="s">
        <v>46</v>
      </c>
      <c r="L14" s="242"/>
      <c r="M14" s="244" t="s">
        <v>471</v>
      </c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ht="23.25" customHeight="1">
      <c r="A15" s="245" t="s">
        <v>472</v>
      </c>
      <c r="B15" s="246"/>
      <c r="C15" s="245" t="s">
        <v>19</v>
      </c>
      <c r="D15" s="247" t="s">
        <v>84</v>
      </c>
      <c r="E15" s="245" t="s">
        <v>40</v>
      </c>
      <c r="F15" s="245" t="s">
        <v>63</v>
      </c>
      <c r="G15" s="246"/>
      <c r="H15" s="246"/>
      <c r="I15" s="246"/>
      <c r="J15" s="248">
        <v>46242.0</v>
      </c>
      <c r="K15" s="249" t="s">
        <v>46</v>
      </c>
      <c r="L15" s="246"/>
      <c r="M15" s="245" t="s">
        <v>473</v>
      </c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</row>
    <row r="16" ht="23.25" customHeight="1">
      <c r="A16" s="211" t="s">
        <v>474</v>
      </c>
      <c r="B16" s="236">
        <v>2.3367407E7</v>
      </c>
      <c r="C16" s="211" t="s">
        <v>7</v>
      </c>
      <c r="D16" s="237" t="s">
        <v>84</v>
      </c>
      <c r="E16" s="211" t="s">
        <v>170</v>
      </c>
      <c r="F16" s="211" t="s">
        <v>475</v>
      </c>
      <c r="G16" s="237" t="s">
        <v>476</v>
      </c>
      <c r="H16" s="235"/>
      <c r="I16" s="235"/>
      <c r="J16" s="238">
        <v>46245.0</v>
      </c>
      <c r="K16" s="212" t="s">
        <v>32</v>
      </c>
      <c r="L16" s="235"/>
      <c r="M16" s="251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</row>
    <row r="17" ht="23.25" customHeight="1">
      <c r="A17" s="211" t="s">
        <v>477</v>
      </c>
      <c r="B17" s="236">
        <v>2.3044865E7</v>
      </c>
      <c r="C17" s="211" t="s">
        <v>7</v>
      </c>
      <c r="D17" s="237" t="s">
        <v>84</v>
      </c>
      <c r="E17" s="211" t="s">
        <v>170</v>
      </c>
      <c r="F17" s="211" t="s">
        <v>469</v>
      </c>
      <c r="G17" s="237" t="s">
        <v>478</v>
      </c>
      <c r="H17" s="235"/>
      <c r="I17" s="235"/>
      <c r="J17" s="238">
        <v>46245.0</v>
      </c>
      <c r="K17" s="212" t="s">
        <v>32</v>
      </c>
      <c r="L17" s="235"/>
      <c r="M17" s="251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</row>
    <row r="18" ht="23.25" customHeight="1">
      <c r="A18" s="211" t="s">
        <v>479</v>
      </c>
      <c r="B18" s="236">
        <v>9.5795947E7</v>
      </c>
      <c r="C18" s="211" t="s">
        <v>7</v>
      </c>
      <c r="D18" s="237" t="s">
        <v>84</v>
      </c>
      <c r="E18" s="211" t="s">
        <v>170</v>
      </c>
      <c r="F18" s="211" t="s">
        <v>358</v>
      </c>
      <c r="G18" s="237" t="s">
        <v>480</v>
      </c>
      <c r="H18" s="235"/>
      <c r="I18" s="235"/>
      <c r="J18" s="238">
        <v>46245.0</v>
      </c>
      <c r="K18" s="212" t="s">
        <v>32</v>
      </c>
      <c r="L18" s="235"/>
      <c r="M18" s="251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</row>
    <row r="19" ht="23.25" customHeight="1">
      <c r="A19" s="211" t="s">
        <v>481</v>
      </c>
      <c r="B19" s="236">
        <v>2.9325564E7</v>
      </c>
      <c r="C19" s="211" t="s">
        <v>7</v>
      </c>
      <c r="D19" s="237" t="s">
        <v>84</v>
      </c>
      <c r="E19" s="211" t="s">
        <v>171</v>
      </c>
      <c r="F19" s="211" t="s">
        <v>358</v>
      </c>
      <c r="G19" s="237" t="s">
        <v>482</v>
      </c>
      <c r="H19" s="235"/>
      <c r="I19" s="235"/>
      <c r="J19" s="238">
        <v>46245.0</v>
      </c>
      <c r="K19" s="212" t="s">
        <v>32</v>
      </c>
      <c r="L19" s="235"/>
      <c r="M19" s="251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23.25" customHeight="1">
      <c r="A20" s="253" t="s">
        <v>483</v>
      </c>
      <c r="B20" s="254">
        <v>4.47378555559E11</v>
      </c>
      <c r="C20" s="253" t="s">
        <v>7</v>
      </c>
      <c r="D20" s="255" t="s">
        <v>84</v>
      </c>
      <c r="E20" s="253" t="s">
        <v>170</v>
      </c>
      <c r="F20" s="253" t="s">
        <v>484</v>
      </c>
      <c r="G20" s="256"/>
      <c r="H20" s="256"/>
      <c r="I20" s="256"/>
      <c r="J20" s="257">
        <v>46253.0</v>
      </c>
      <c r="K20" s="253" t="s">
        <v>304</v>
      </c>
      <c r="L20" s="256"/>
      <c r="M20" s="253" t="s">
        <v>304</v>
      </c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21.75" customHeight="1">
      <c r="A21" s="142" t="s">
        <v>485</v>
      </c>
      <c r="B21" s="142">
        <v>5.3669406E7</v>
      </c>
      <c r="C21" s="142" t="s">
        <v>12</v>
      </c>
      <c r="D21" s="142" t="s">
        <v>84</v>
      </c>
      <c r="E21" s="142" t="s">
        <v>88</v>
      </c>
      <c r="F21" s="142" t="s">
        <v>57</v>
      </c>
      <c r="G21" s="143"/>
      <c r="H21" s="143"/>
      <c r="I21" s="143"/>
      <c r="J21" s="144">
        <v>46260.0</v>
      </c>
      <c r="K21" s="142" t="s">
        <v>304</v>
      </c>
      <c r="L21" s="143"/>
      <c r="M21" s="142" t="s">
        <v>304</v>
      </c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ht="23.25" customHeight="1">
      <c r="A22" s="251"/>
      <c r="B22" s="236">
        <v>5.5666603E7</v>
      </c>
      <c r="C22" s="211" t="s">
        <v>7</v>
      </c>
      <c r="D22" s="237" t="s">
        <v>84</v>
      </c>
      <c r="E22" s="211" t="s">
        <v>170</v>
      </c>
      <c r="F22" s="211" t="s">
        <v>486</v>
      </c>
      <c r="G22" s="237" t="s">
        <v>487</v>
      </c>
      <c r="H22" s="235"/>
      <c r="I22" s="235"/>
      <c r="J22" s="238">
        <v>46260.0</v>
      </c>
      <c r="K22" s="212" t="s">
        <v>32</v>
      </c>
      <c r="L22" s="235"/>
      <c r="M22" s="211" t="s">
        <v>488</v>
      </c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23.25" customHeight="1">
      <c r="A23" s="251"/>
      <c r="B23" s="236">
        <v>2.3367407E7</v>
      </c>
      <c r="C23" s="211" t="s">
        <v>7</v>
      </c>
      <c r="D23" s="237" t="s">
        <v>84</v>
      </c>
      <c r="E23" s="211" t="s">
        <v>170</v>
      </c>
      <c r="F23" s="251"/>
      <c r="G23" s="237" t="s">
        <v>476</v>
      </c>
      <c r="H23" s="235"/>
      <c r="I23" s="235"/>
      <c r="J23" s="238">
        <v>46260.0</v>
      </c>
      <c r="K23" s="212" t="s">
        <v>32</v>
      </c>
      <c r="L23" s="235"/>
      <c r="M23" s="251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23.25" customHeight="1">
      <c r="A24" s="251"/>
      <c r="B24" s="236">
        <v>5.1039046E7</v>
      </c>
      <c r="C24" s="211" t="s">
        <v>7</v>
      </c>
      <c r="D24" s="237" t="s">
        <v>84</v>
      </c>
      <c r="E24" s="211" t="s">
        <v>171</v>
      </c>
      <c r="F24" s="211" t="s">
        <v>489</v>
      </c>
      <c r="G24" s="235"/>
      <c r="H24" s="235"/>
      <c r="I24" s="235"/>
      <c r="J24" s="238">
        <v>46260.0</v>
      </c>
      <c r="K24" s="212" t="s">
        <v>32</v>
      </c>
      <c r="L24" s="235"/>
      <c r="M24" s="251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23.25" customHeight="1">
      <c r="A25" s="258" t="s">
        <v>491</v>
      </c>
      <c r="B25" s="259">
        <v>9.7914292E7</v>
      </c>
      <c r="C25" s="260" t="s">
        <v>7</v>
      </c>
      <c r="D25" s="260" t="s">
        <v>84</v>
      </c>
      <c r="E25" s="260" t="s">
        <v>53</v>
      </c>
      <c r="F25" s="260" t="s">
        <v>492</v>
      </c>
      <c r="G25" s="258" t="s">
        <v>493</v>
      </c>
      <c r="H25" s="261"/>
      <c r="I25" s="261"/>
      <c r="J25" s="262">
        <v>46261.0</v>
      </c>
      <c r="K25" s="263" t="s">
        <v>304</v>
      </c>
      <c r="L25" s="261"/>
      <c r="M25" s="258" t="s">
        <v>304</v>
      </c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21.0" customHeight="1">
      <c r="A26" s="234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2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</row>
    <row r="27" ht="21.75" customHeight="1">
      <c r="A27" s="142" t="s">
        <v>494</v>
      </c>
      <c r="B27" s="143">
        <f>32474063658</f>
        <v>32474063658</v>
      </c>
      <c r="C27" s="142" t="s">
        <v>7</v>
      </c>
      <c r="D27" s="142" t="s">
        <v>58</v>
      </c>
      <c r="E27" s="142" t="s">
        <v>496</v>
      </c>
      <c r="F27" s="142" t="s">
        <v>497</v>
      </c>
      <c r="G27" s="142" t="s">
        <v>498</v>
      </c>
      <c r="H27" s="143"/>
      <c r="I27" s="143"/>
      <c r="J27" s="209"/>
      <c r="K27" s="142" t="s">
        <v>304</v>
      </c>
      <c r="L27" s="143"/>
      <c r="M27" s="142" t="s">
        <v>304</v>
      </c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ht="21.75" customHeight="1">
      <c r="A28" s="154" t="s">
        <v>499</v>
      </c>
      <c r="B28" s="151">
        <v>33758077440</v>
      </c>
      <c r="C28" s="152" t="s">
        <v>7</v>
      </c>
      <c r="D28" s="265" t="s">
        <v>58</v>
      </c>
      <c r="E28" s="266"/>
      <c r="F28" s="154" t="s">
        <v>503</v>
      </c>
      <c r="G28" s="266"/>
      <c r="H28" s="215"/>
      <c r="I28" s="215"/>
      <c r="J28" s="216">
        <v>46245.0</v>
      </c>
      <c r="K28" s="157" t="s">
        <v>32</v>
      </c>
      <c r="L28" s="215"/>
      <c r="M28" s="154" t="s">
        <v>299</v>
      </c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27.75" customHeight="1">
      <c r="A29" s="268" t="s">
        <v>504</v>
      </c>
      <c r="B29" s="269"/>
      <c r="C29" s="268" t="s">
        <v>7</v>
      </c>
      <c r="D29" s="268" t="s">
        <v>58</v>
      </c>
      <c r="E29" s="270" t="s">
        <v>44</v>
      </c>
      <c r="F29" s="271" t="s">
        <v>506</v>
      </c>
      <c r="G29" s="270" t="s">
        <v>507</v>
      </c>
      <c r="H29" s="272"/>
      <c r="I29" s="272"/>
      <c r="J29" s="273"/>
      <c r="K29" s="274" t="s">
        <v>304</v>
      </c>
      <c r="L29" s="272"/>
      <c r="M29" s="268" t="s">
        <v>304</v>
      </c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21.75" customHeight="1">
      <c r="A30" s="276" t="s">
        <v>510</v>
      </c>
      <c r="B30" s="277">
        <v>3.3619942941E10</v>
      </c>
      <c r="C30" s="276" t="s">
        <v>7</v>
      </c>
      <c r="D30" s="276" t="s">
        <v>58</v>
      </c>
      <c r="E30" s="278" t="s">
        <v>315</v>
      </c>
      <c r="F30" s="279"/>
      <c r="G30" s="278" t="s">
        <v>514</v>
      </c>
      <c r="H30" s="280"/>
      <c r="I30" s="280"/>
      <c r="J30" s="281">
        <v>46265.0</v>
      </c>
      <c r="K30" s="282" t="s">
        <v>32</v>
      </c>
      <c r="L30" s="280"/>
      <c r="M30" s="276" t="s">
        <v>517</v>
      </c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21.75" customHeight="1">
      <c r="A31" s="234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2"/>
      <c r="N31" s="283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2"/>
    </row>
    <row r="32" ht="28.5" customHeight="1">
      <c r="A32" s="284" t="s">
        <v>523</v>
      </c>
      <c r="B32" s="285">
        <v>5.2938355E7</v>
      </c>
      <c r="C32" s="284" t="s">
        <v>381</v>
      </c>
      <c r="D32" s="237" t="s">
        <v>70</v>
      </c>
      <c r="E32" s="284" t="s">
        <v>524</v>
      </c>
      <c r="F32" s="284" t="s">
        <v>358</v>
      </c>
      <c r="G32" s="284" t="s">
        <v>525</v>
      </c>
      <c r="H32" s="168"/>
      <c r="I32" s="168"/>
      <c r="J32" s="207"/>
      <c r="K32" s="284" t="s">
        <v>32</v>
      </c>
      <c r="L32" s="168"/>
      <c r="M32" s="287" t="s">
        <v>526</v>
      </c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28.5" customHeight="1">
      <c r="A33" s="284" t="s">
        <v>527</v>
      </c>
      <c r="B33" s="285">
        <v>2.8121838E7</v>
      </c>
      <c r="C33" s="284" t="s">
        <v>7</v>
      </c>
      <c r="D33" s="237" t="s">
        <v>70</v>
      </c>
      <c r="E33" s="284" t="s">
        <v>529</v>
      </c>
      <c r="F33" s="168"/>
      <c r="G33" s="168"/>
      <c r="H33" s="168"/>
      <c r="I33" s="168"/>
      <c r="J33" s="207"/>
      <c r="K33" s="284" t="s">
        <v>32</v>
      </c>
      <c r="L33" s="168"/>
      <c r="M33" s="288" t="s">
        <v>530</v>
      </c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21.75" customHeight="1">
      <c r="A34" s="286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2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21.75" customHeight="1">
      <c r="A35" s="237" t="s">
        <v>531</v>
      </c>
      <c r="B35" s="236">
        <v>5.7119584E7</v>
      </c>
      <c r="C35" s="237" t="s">
        <v>12</v>
      </c>
      <c r="D35" s="237" t="s">
        <v>33</v>
      </c>
      <c r="E35" s="237" t="s">
        <v>532</v>
      </c>
      <c r="F35" s="237" t="s">
        <v>533</v>
      </c>
      <c r="G35" s="235"/>
      <c r="H35" s="235"/>
      <c r="I35" s="235"/>
      <c r="J35" s="289"/>
      <c r="K35" s="239" t="s">
        <v>32</v>
      </c>
      <c r="L35" s="235"/>
      <c r="M35" s="237" t="s">
        <v>534</v>
      </c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21.75" customHeight="1">
      <c r="A36" s="286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2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21.75" customHeight="1">
      <c r="A37" s="290" t="s">
        <v>535</v>
      </c>
      <c r="B37" s="291">
        <v>2.7557236E7</v>
      </c>
      <c r="C37" s="290" t="s">
        <v>7</v>
      </c>
      <c r="D37" s="290" t="s">
        <v>536</v>
      </c>
      <c r="E37" s="290" t="s">
        <v>170</v>
      </c>
      <c r="F37" s="290" t="s">
        <v>537</v>
      </c>
      <c r="G37" s="292"/>
      <c r="H37" s="292"/>
      <c r="I37" s="292"/>
      <c r="J37" s="293"/>
      <c r="K37" s="294" t="s">
        <v>32</v>
      </c>
      <c r="L37" s="292"/>
      <c r="M37" s="290" t="s">
        <v>538</v>
      </c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21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30"/>
      <c r="K104" s="28"/>
      <c r="L104" s="28"/>
      <c r="M104" s="28"/>
    </row>
    <row r="105" ht="21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3"/>
      <c r="K105" s="32"/>
      <c r="L105" s="32"/>
      <c r="M105" s="32"/>
    </row>
    <row r="106" ht="21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30"/>
      <c r="K106" s="28"/>
      <c r="L106" s="28"/>
      <c r="M106" s="28"/>
    </row>
    <row r="107" ht="21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2"/>
      <c r="L107" s="32"/>
      <c r="M107" s="32"/>
    </row>
    <row r="108" ht="21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30"/>
      <c r="K108" s="28"/>
      <c r="L108" s="28"/>
      <c r="M108" s="28"/>
    </row>
    <row r="109" ht="21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3"/>
      <c r="K109" s="32"/>
      <c r="L109" s="32"/>
      <c r="M109" s="32"/>
    </row>
    <row r="110" ht="21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30"/>
      <c r="K110" s="28"/>
      <c r="L110" s="28"/>
      <c r="M110" s="28"/>
    </row>
    <row r="111" ht="21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3"/>
      <c r="K111" s="32"/>
      <c r="L111" s="32"/>
      <c r="M111" s="32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>
      <c r="C501" s="1"/>
      <c r="D501" s="1"/>
      <c r="E501" s="1"/>
      <c r="F501" s="1"/>
      <c r="J501" s="1"/>
      <c r="K501" s="1"/>
    </row>
    <row r="502" ht="15.75" customHeight="1">
      <c r="C502" s="1"/>
      <c r="D502" s="1"/>
      <c r="E502" s="1"/>
      <c r="F502" s="1"/>
      <c r="J502" s="1"/>
      <c r="K502" s="1"/>
    </row>
    <row r="503" ht="15.75" customHeight="1">
      <c r="C503" s="1"/>
      <c r="D503" s="1"/>
      <c r="E503" s="1"/>
      <c r="F503" s="1"/>
      <c r="J503" s="1"/>
      <c r="K503" s="1"/>
    </row>
    <row r="504" ht="15.75" customHeight="1">
      <c r="C504" s="1"/>
      <c r="D504" s="1"/>
      <c r="E504" s="1"/>
      <c r="F504" s="1"/>
      <c r="J504" s="1"/>
      <c r="K504" s="1"/>
    </row>
    <row r="505" ht="15.75" customHeight="1">
      <c r="C505" s="1"/>
      <c r="D505" s="1"/>
      <c r="E505" s="1"/>
      <c r="F505" s="1"/>
      <c r="J505" s="1"/>
      <c r="K505" s="1"/>
    </row>
    <row r="506" ht="15.75" customHeight="1">
      <c r="C506" s="1"/>
      <c r="D506" s="1"/>
      <c r="E506" s="1"/>
      <c r="F506" s="1"/>
      <c r="J506" s="1"/>
      <c r="K506" s="1"/>
    </row>
    <row r="507" ht="15.75" customHeight="1">
      <c r="C507" s="1"/>
      <c r="D507" s="1"/>
      <c r="E507" s="1"/>
      <c r="F507" s="1"/>
      <c r="J507" s="1"/>
      <c r="K507" s="1"/>
    </row>
    <row r="508" ht="15.75" customHeight="1">
      <c r="C508" s="1"/>
      <c r="D508" s="1"/>
      <c r="E508" s="1"/>
      <c r="F508" s="1"/>
      <c r="J508" s="1"/>
      <c r="K508" s="1"/>
    </row>
    <row r="509" ht="15.75" customHeight="1"/>
    <row r="510" ht="15.0" customHeight="1">
      <c r="A510" s="85" t="s">
        <v>177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6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8">
    <mergeCell ref="A1:M1"/>
    <mergeCell ref="A7:M7"/>
    <mergeCell ref="A26:M26"/>
    <mergeCell ref="A31:M31"/>
    <mergeCell ref="N31:Z31"/>
    <mergeCell ref="A34:M34"/>
    <mergeCell ref="A36:M36"/>
    <mergeCell ref="A510:M510"/>
  </mergeCells>
  <conditionalFormatting sqref="A4:M508 N31:Z31">
    <cfRule type="expression" dxfId="0" priority="1">
      <formula>$K4="Nouveau lead"</formula>
    </cfRule>
  </conditionalFormatting>
  <conditionalFormatting sqref="A4:M508 N31:Z31">
    <cfRule type="expression" dxfId="1" priority="2">
      <formula>$K4="Appel 1 effectué"</formula>
    </cfRule>
  </conditionalFormatting>
  <conditionalFormatting sqref="A4:M508 N31:Z31">
    <cfRule type="expression" dxfId="2" priority="3">
      <formula>$K4="En attente VIN/Photo"</formula>
    </cfRule>
  </conditionalFormatting>
  <conditionalFormatting sqref="A4:M508 N31:Z31">
    <cfRule type="expression" dxfId="3" priority="4">
      <formula>$K4="Vérification"</formula>
    </cfRule>
  </conditionalFormatting>
  <conditionalFormatting sqref="A4:M508 N31:Z31">
    <cfRule type="expression" dxfId="4" priority="5">
      <formula>$K4="Appel 2 effectué"</formula>
    </cfRule>
  </conditionalFormatting>
  <conditionalFormatting sqref="A4:M508 N31:Z31">
    <cfRule type="expression" dxfId="5" priority="6">
      <formula>$K4="RDV confirmé"</formula>
    </cfRule>
  </conditionalFormatting>
  <conditionalFormatting sqref="A4:M508 N31:Z31">
    <cfRule type="expression" dxfId="6" priority="7">
      <formula>$K4="RDV honoré"</formula>
    </cfRule>
  </conditionalFormatting>
  <conditionalFormatting sqref="A4:M508 N31:Z31">
    <cfRule type="expression" dxfId="7" priority="8">
      <formula>$K4="Non faisable"</formula>
    </cfRule>
  </conditionalFormatting>
  <conditionalFormatting sqref="A4:M508 N31:Z31">
    <cfRule type="expression" dxfId="8" priority="9">
      <formula>$K4="Annulé"</formula>
    </cfRule>
  </conditionalFormatting>
  <dataValidations>
    <dataValidation type="list" allowBlank="1" showInputMessage="1" showErrorMessage="1" prompt="Cliquez ici et saisissez une valeur dans la liste des éléments" sqref="E32">
      <formula1>"VW Golf 7,mercedes GLA"</formula1>
    </dataValidation>
    <dataValidation type="list" allowBlank="1" showInputMessage="1" showErrorMessage="1" prompt="Click and enter a value from the list of items" sqref="C32">
      <formula1>"messenger"</formula1>
    </dataValidation>
    <dataValidation type="list" allowBlank="1" showInputMessage="1" showErrorMessage="1" prompt="Valeur invalide - Choisissez dans la liste." sqref="D4:D6 D8:D25 D27:D30 D32:D33 D35 D38:D508">
      <formula1>'_Listes'!$B$2:$B$25</formula1>
    </dataValidation>
    <dataValidation type="date" operator="greaterThan" allowBlank="1" showInputMessage="1" showErrorMessage="1" prompt="Date invalide - Entrez une date valide (ex: 28/06/2025)." sqref="J4:J6 J8:J25 J27:J30 J32:J33 J35 J37:J508">
      <formula1>DATE(2020,1,1)</formula1>
    </dataValidation>
    <dataValidation type="list" allowBlank="1" showInputMessage="1" showErrorMessage="1" prompt="Cliquez ici et saisissez une valeur dans la liste des éléments" sqref="D37">
      <formula1>"Gassrine"</formula1>
    </dataValidation>
    <dataValidation type="list" allowBlank="1" showInputMessage="1" showErrorMessage="1" prompt="Cliquez ici et saisissez une valeur dans la liste des éléments" sqref="F11:F12 F17">
      <formula1>"Diagnostique"</formula1>
    </dataValidation>
    <dataValidation type="list" allowBlank="1" showInputMessage="1" showErrorMessage="1" prompt="Cliquez ici et saisissez une valeur dans la liste des éléments" sqref="E35">
      <formula1>"T-Roc 2024"</formula1>
    </dataValidation>
    <dataValidation type="list" allowBlank="1" showInputMessage="1" showErrorMessage="1" prompt="Click and enter a value from the list of items" sqref="K32:K33">
      <formula1>"RDV confirmé"</formula1>
    </dataValidation>
    <dataValidation type="list" allowBlank="1" showInputMessage="1" showErrorMessage="1" prompt="Cliquez ici et saisissez une valeur dans la liste des éléments" sqref="E16:E18 E22:E23 E37">
      <formula1>"BMW"</formula1>
    </dataValidation>
    <dataValidation type="list" allowBlank="1" showInputMessage="1" showErrorMessage="1" prompt="Cliquez ici et saisissez une valeur dans la liste des éléments" sqref="F16">
      <formula1>"Navigation + My BMW"</formula1>
    </dataValidation>
    <dataValidation type="list" allowBlank="1" showInputMessage="1" showErrorMessage="1" prompt="Cliquez ici et saisissez une valeur dans la liste des éléments" sqref="F5">
      <formula1>"Box interface android"</formula1>
    </dataValidation>
    <dataValidation type="list" allowBlank="1" showInputMessage="1" showErrorMessage="1" prompt="Cliquez ici et saisissez une valeur dans la liste des éléments" sqref="E11">
      <formula1>"range rover"</formula1>
    </dataValidation>
    <dataValidation type="list" allowBlank="1" showInputMessage="1" showErrorMessage="1" prompt="Click and enter a value from the list of items" sqref="F8">
      <formula1>"Nvigation + Android Auto"</formula1>
    </dataValidation>
    <dataValidation type="list" allowBlank="1" showInputMessage="1" showErrorMessage="1" prompt="Cliquez ici et saisissez une valeur dans la liste des éléments" sqref="F18:F19 F32:F33">
      <formula1>"Navigation"</formula1>
    </dataValidation>
    <dataValidation type="list" allowBlank="1" showInputMessage="1" showErrorMessage="1" prompt="Cliquez ici et saisissez une valeur dans la liste des éléments" sqref="F27">
      <formula1>"start &amp; Stop+ Navigation"</formula1>
    </dataValidation>
    <dataValidation type="list" allowBlank="1" showInputMessage="1" showErrorMessage="1" prompt="Cliquez ici et saisissez une valeur dans la liste des éléments" sqref="F24">
      <formula1>"Licences"</formula1>
    </dataValidation>
    <dataValidation type="list" allowBlank="1" showInputMessage="1" showErrorMessage="1" prompt="Click and enter a value from the list of items" sqref="E28 E30">
      <formula1>"Mercedes "</formula1>
    </dataValidation>
    <dataValidation type="list" allowBlank="1" showInputMessage="1" showErrorMessage="1" prompt="Cliquez ici et saisissez une valeur dans la liste des éléments" sqref="F28 F30">
      <formula1>"Diagnostic"</formula1>
    </dataValidation>
    <dataValidation type="list" allowBlank="1" showInputMessage="1" showErrorMessage="1" prompt="Cliquez ici et saisissez une valeur dans la liste des éléments" sqref="F37">
      <formula1>"Navigation + mise a jour"</formula1>
    </dataValidation>
    <dataValidation type="list" allowBlank="1" showInputMessage="1" showErrorMessage="1" prompt="Cliquez ici et saisissez une valeur dans la liste des éléments" sqref="F20">
      <formula1>"Alarme"</formula1>
    </dataValidation>
    <dataValidation type="list" allowBlank="1" showInputMessage="1" showErrorMessage="1" prompt="Valeur invalide - Choisissez dans la liste." sqref="K9 K14 K38:K508">
      <formula1>'_Listes'!$A$2:$A$10</formula1>
    </dataValidation>
    <dataValidation type="list" allowBlank="1" showInputMessage="1" showErrorMessage="1" prompt="Cliquez ici et saisissez une valeur dans la liste des éléments" sqref="F25">
      <formula1>"Options cachées"</formula1>
    </dataValidation>
    <dataValidation type="list" allowBlank="1" showInputMessage="1" showErrorMessage="1" prompt="Cliquez ici et saisissez une valeur dans la liste des éléments" sqref="K22:K24">
      <formula1>"RDV confirmé"</formula1>
    </dataValidation>
    <dataValidation type="list" allowBlank="1" showInputMessage="1" showErrorMessage="1" prompt="Cliquez ici et saisissez une valeur dans la liste des éléments" sqref="E25">
      <formula1>"BMW X6"</formula1>
    </dataValidation>
    <dataValidation type="list" allowBlank="1" showInputMessage="1" showErrorMessage="1" prompt="Cliquez ici et saisissez une valeur dans la liste des éléments" sqref="E27">
      <formula1>"Mercedes G classe"</formula1>
    </dataValidation>
    <dataValidation type="list" allowBlank="1" showInputMessage="1" showErrorMessage="1" prompt="Cliquez ici et saisissez une valeur dans la liste des éléments" sqref="F29">
      <formula1>"Navigation + android auto + My BMW"</formula1>
    </dataValidation>
    <dataValidation type="list" allowBlank="1" showInputMessage="1" showErrorMessage="1" prompt="Cliquez ici et saisissez une valeur dans la liste des éléments" sqref="E12 E19:E20 E24">
      <formula1>"Mercedes"</formula1>
    </dataValidation>
    <dataValidation type="list" allowBlank="1" showInputMessage="1" showErrorMessage="1" prompt="Cliquez ici et saisissez une valeur dans la liste des éléments" sqref="F22:F23">
      <formula1>"navigation + android auto"</formula1>
    </dataValidation>
    <dataValidation type="list" allowBlank="1" showInputMessage="1" showErrorMessage="1" prompt="Valeur invalide - Choisissez dans la liste." sqref="C4:C6 C8:C25 C27:C30 C35 C37:C508">
      <formula1>'_Listes'!$C$2:$C$8</formula1>
    </dataValidation>
    <dataValidation type="list" allowBlank="1" showInputMessage="1" showErrorMessage="1" prompt="Valeur invalide - Choisissez dans la liste." sqref="F4 F6 F9:F10 F13:F15 F21 F38:F508">
      <formula1>'_Listes'!$E$2:$E$15</formula1>
    </dataValidation>
    <dataValidation type="list" allowBlank="1" showInputMessage="1" showErrorMessage="1" prompt="Cliquez ici et saisissez une valeur dans la liste des éléments" sqref="E29">
      <formula1>"BMW X3"</formula1>
    </dataValidation>
    <dataValidation type="list" allowBlank="1" showInputMessage="1" showErrorMessage="1" prompt="Cliquez ici et saisissez une valeur dans la liste des éléments" sqref="K25">
      <formula1>"Done"</formula1>
    </dataValidation>
    <dataValidation type="list" allowBlank="1" showInputMessage="1" showErrorMessage="1" prompt="Cliquez ici et saisissez une valeur dans la liste des éléments" sqref="C33">
      <formula1>"WhatsApp"</formula1>
    </dataValidation>
    <dataValidation type="list" allowBlank="1" showInputMessage="1" showErrorMessage="1" prompt="Cliquez ici et saisissez une valeur dans la liste des éléments" sqref="E33">
      <formula1>"MG"</formula1>
    </dataValidation>
    <dataValidation type="list" allowBlank="1" showInputMessage="1" showErrorMessage="1" prompt="Valeur invalide - Choisissez dans la liste." sqref="E4:E6 E8:E10 E13:E15 E21 E38:E508">
      <formula1>'_Listes'!$D$2:$D$42</formula1>
    </dataValidation>
    <dataValidation type="list" allowBlank="1" showInputMessage="1" showErrorMessage="1" prompt="Cliquez ici et saisissez une valeur dans la liste des éléments" sqref="K10:K12 K20:K21 K27 K29">
      <formula1>"Done"</formula1>
    </dataValidation>
    <dataValidation type="list" allowBlank="1" showInputMessage="1" showErrorMessage="1" prompt="Click and enter a value from range" sqref="K4:K6 K8 K13 K15:K19 K28 K30 K35 K37">
      <formula1>'_Listes'!$A$2:$A$10</formula1>
    </dataValidation>
    <dataValidation type="list" allowBlank="1" showInputMessage="1" showErrorMessage="1" prompt="Cliquez ici et saisissez une valeur dans la liste des éléments" sqref="F35">
      <formula1>"Navigation+alarme+Rline"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490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115" t="s">
        <v>495</v>
      </c>
      <c r="B4" s="115">
        <v>9.8269469E7</v>
      </c>
      <c r="C4" s="115" t="s">
        <v>19</v>
      </c>
      <c r="D4" s="115" t="s">
        <v>84</v>
      </c>
      <c r="E4" s="115" t="s">
        <v>451</v>
      </c>
      <c r="F4" s="115" t="s">
        <v>57</v>
      </c>
      <c r="G4" s="32"/>
      <c r="H4" s="32"/>
      <c r="I4" s="32"/>
      <c r="J4" s="123">
        <v>46268.0</v>
      </c>
      <c r="K4" s="115" t="s">
        <v>46</v>
      </c>
      <c r="L4" s="32"/>
      <c r="M4" s="115" t="s">
        <v>501</v>
      </c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ht="21.75" customHeight="1">
      <c r="A5" s="142" t="s">
        <v>502</v>
      </c>
      <c r="B5" s="142">
        <v>9.8332016E7</v>
      </c>
      <c r="C5" s="142" t="s">
        <v>24</v>
      </c>
      <c r="D5" s="142" t="s">
        <v>84</v>
      </c>
      <c r="E5" s="142" t="s">
        <v>171</v>
      </c>
      <c r="F5" s="142" t="s">
        <v>9</v>
      </c>
      <c r="G5" s="143"/>
      <c r="H5" s="143"/>
      <c r="I5" s="143"/>
      <c r="J5" s="144">
        <v>46269.0</v>
      </c>
      <c r="K5" s="142" t="s">
        <v>37</v>
      </c>
      <c r="L5" s="143"/>
      <c r="M5" s="267" t="s">
        <v>304</v>
      </c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ht="21.75" customHeight="1">
      <c r="A6" s="117" t="s">
        <v>505</v>
      </c>
      <c r="B6" s="117">
        <v>3.3622360235E10</v>
      </c>
      <c r="C6" s="117" t="s">
        <v>19</v>
      </c>
      <c r="D6" s="117" t="s">
        <v>84</v>
      </c>
      <c r="E6" s="117" t="s">
        <v>99</v>
      </c>
      <c r="F6" s="117" t="s">
        <v>63</v>
      </c>
      <c r="G6" s="28"/>
      <c r="H6" s="117" t="s">
        <v>508</v>
      </c>
      <c r="I6" s="28"/>
      <c r="J6" s="145">
        <v>46280.0</v>
      </c>
      <c r="K6" s="117" t="s">
        <v>32</v>
      </c>
      <c r="L6" s="28"/>
      <c r="M6" s="275" t="s">
        <v>509</v>
      </c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ht="21.75" customHeight="1">
      <c r="A7" s="115" t="s">
        <v>511</v>
      </c>
      <c r="B7" s="115">
        <v>5.0988852E7</v>
      </c>
      <c r="C7" s="115" t="s">
        <v>19</v>
      </c>
      <c r="D7" s="115" t="s">
        <v>84</v>
      </c>
      <c r="E7" s="115" t="s">
        <v>56</v>
      </c>
      <c r="F7" s="115" t="s">
        <v>512</v>
      </c>
      <c r="G7" s="115" t="s">
        <v>513</v>
      </c>
      <c r="H7" s="32"/>
      <c r="I7" s="32"/>
      <c r="J7" s="33"/>
      <c r="K7" s="115" t="s">
        <v>32</v>
      </c>
      <c r="L7" s="32"/>
      <c r="M7" s="115" t="s">
        <v>515</v>
      </c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ht="21.75" customHeight="1">
      <c r="A8" s="117" t="s">
        <v>516</v>
      </c>
      <c r="B8" s="117">
        <v>9.480014E7</v>
      </c>
      <c r="C8" s="117" t="s">
        <v>19</v>
      </c>
      <c r="D8" s="117" t="s">
        <v>84</v>
      </c>
      <c r="E8" s="117" t="s">
        <v>56</v>
      </c>
      <c r="F8" s="117" t="s">
        <v>518</v>
      </c>
      <c r="G8" s="117" t="s">
        <v>519</v>
      </c>
      <c r="H8" s="28"/>
      <c r="I8" s="28"/>
      <c r="J8" s="145"/>
      <c r="K8" s="117" t="s">
        <v>32</v>
      </c>
      <c r="L8" s="28"/>
      <c r="M8" s="117" t="s">
        <v>515</v>
      </c>
    </row>
    <row r="9" ht="21.75" customHeight="1">
      <c r="A9" s="115" t="s">
        <v>520</v>
      </c>
      <c r="B9" s="115">
        <v>9.9138321E7</v>
      </c>
      <c r="C9" s="115" t="s">
        <v>7</v>
      </c>
      <c r="D9" s="115" t="s">
        <v>84</v>
      </c>
      <c r="E9" s="115" t="s">
        <v>521</v>
      </c>
      <c r="F9" s="32"/>
      <c r="G9" s="115" t="s">
        <v>522</v>
      </c>
      <c r="H9" s="32"/>
      <c r="I9" s="32"/>
      <c r="J9" s="33"/>
      <c r="K9" s="115" t="s">
        <v>32</v>
      </c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286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  <c r="N11" s="286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2"/>
    </row>
    <row r="12" ht="21.75" customHeight="1">
      <c r="A12" s="117" t="s">
        <v>528</v>
      </c>
      <c r="B12" s="117">
        <v>4.4600205E7</v>
      </c>
      <c r="C12" s="117" t="s">
        <v>7</v>
      </c>
      <c r="D12" s="117" t="s">
        <v>70</v>
      </c>
      <c r="E12" s="117" t="s">
        <v>69</v>
      </c>
      <c r="F12" s="117" t="s">
        <v>9</v>
      </c>
      <c r="G12" s="28"/>
      <c r="H12" s="28"/>
      <c r="I12" s="28"/>
      <c r="J12" s="30"/>
      <c r="K12" s="117" t="s">
        <v>32</v>
      </c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11:M11"/>
    <mergeCell ref="N11:Z11"/>
    <mergeCell ref="A502:M502"/>
  </mergeCells>
  <conditionalFormatting sqref="A4:M500 N11:Z11">
    <cfRule type="expression" dxfId="0" priority="1">
      <formula>$K4="Nouveau lead"</formula>
    </cfRule>
  </conditionalFormatting>
  <conditionalFormatting sqref="A4:M500 N11:Z11">
    <cfRule type="expression" dxfId="1" priority="2">
      <formula>$K4="Appel 1 effectué"</formula>
    </cfRule>
  </conditionalFormatting>
  <conditionalFormatting sqref="A4:M500 N11:Z11">
    <cfRule type="expression" dxfId="2" priority="3">
      <formula>$K4="En attente VIN/Photo"</formula>
    </cfRule>
  </conditionalFormatting>
  <conditionalFormatting sqref="A4:M500 N11:Z11">
    <cfRule type="expression" dxfId="3" priority="4">
      <formula>$K4="Vérification"</formula>
    </cfRule>
  </conditionalFormatting>
  <conditionalFormatting sqref="A4:M500 N11:Z11">
    <cfRule type="expression" dxfId="4" priority="5">
      <formula>$K4="Appel 2 effectué"</formula>
    </cfRule>
  </conditionalFormatting>
  <conditionalFormatting sqref="A4:M500 N11:Z11">
    <cfRule type="expression" dxfId="5" priority="6">
      <formula>$K4="RDV confirmé"</formula>
    </cfRule>
  </conditionalFormatting>
  <conditionalFormatting sqref="A4:M500 N11:Z11">
    <cfRule type="expression" dxfId="6" priority="7">
      <formula>$K4="RDV honoré"</formula>
    </cfRule>
  </conditionalFormatting>
  <conditionalFormatting sqref="A4:M500 N11:Z11">
    <cfRule type="expression" dxfId="7" priority="8">
      <formula>$K4="Non faisable"</formula>
    </cfRule>
  </conditionalFormatting>
  <conditionalFormatting sqref="A4:M500 N11:Z11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10 C12:C500">
      <formula1>'_Listes'!$C$2:$C$8</formula1>
    </dataValidation>
    <dataValidation type="list" allowBlank="1" showInputMessage="1" showErrorMessage="1" prompt="Valeur invalide - Choisissez dans la liste." sqref="K4:K10 K12:K500">
      <formula1>'_Listes'!$A$2:$A$10</formula1>
    </dataValidation>
    <dataValidation type="list" allowBlank="1" showInputMessage="1" showErrorMessage="1" prompt="Valeur invalide - Choisissez dans la liste." sqref="F4:F6 F9:F10 F12:F500">
      <formula1>'_Listes'!$E$2:$E$15</formula1>
    </dataValidation>
    <dataValidation type="list" allowBlank="1" showInputMessage="1" showErrorMessage="1" prompt="Valeur invalide - Choisissez dans la liste." sqref="D4:D10 D12:D500">
      <formula1>'_Listes'!$B$2:$B$25</formula1>
    </dataValidation>
    <dataValidation type="date" operator="greaterThan" allowBlank="1" showInputMessage="1" showErrorMessage="1" prompt="Date invalide - Entrez une date valide (ex: 28/06/2025)." sqref="J4:J10 J12:J500">
      <formula1>DATE(2020,1,1)</formula1>
    </dataValidation>
    <dataValidation type="list" allowBlank="1" showInputMessage="1" showErrorMessage="1" prompt="Cliquez ici et saisissez une valeur dans la liste des éléments" sqref="E9">
      <formula1>"Mercedes Gen20x"</formula1>
    </dataValidation>
    <dataValidation type="list" allowBlank="1" showInputMessage="1" showErrorMessage="1" prompt="Cliquez ici et saisissez une valeur dans la liste des éléments" sqref="E5">
      <formula1>"Mercedes"</formula1>
    </dataValidation>
    <dataValidation type="list" allowBlank="1" showInputMessage="1" showErrorMessage="1" prompt="Cliquez ici et saisissez une valeur dans la liste des éléments" sqref="E4">
      <formula1>"Skoda"</formula1>
    </dataValidation>
    <dataValidation type="list" allowBlank="1" showInputMessage="1" showErrorMessage="1" prompt="Cliquez ici et saisissez une valeur dans la liste des éléments" sqref="F8">
      <formula1>"Pack Licences"</formula1>
    </dataValidation>
    <dataValidation type="list" allowBlank="1" showInputMessage="1" showErrorMessage="1" prompt="Valeur invalide - Choisissez dans la liste." sqref="E6:E8 E10 E12:E500">
      <formula1>'_Listes'!$D$2:$D$42</formula1>
    </dataValidation>
    <dataValidation type="list" allowBlank="1" showInputMessage="1" showErrorMessage="1" prompt="Cliquez ici et saisissez une valeur dans la liste des éléments" sqref="F7">
      <formula1>"Pack Licences + alarme + AMG"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500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539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4" width="16.0"/>
    <col customWidth="1" min="5" max="5" width="22.0"/>
    <col customWidth="1" min="6" max="6" width="24.0"/>
    <col customWidth="1" min="7" max="7" width="20.0"/>
    <col customWidth="1" min="8" max="9" width="18.0"/>
    <col customWidth="1" min="10" max="10" width="14.0"/>
    <col customWidth="1" min="11" max="11" width="22.0"/>
    <col customWidth="1" min="12" max="12" width="13.0"/>
    <col customWidth="1" min="13" max="13" width="36.0"/>
    <col customWidth="1" min="14" max="26" width="8.71"/>
  </cols>
  <sheetData>
    <row r="1" ht="33.75" customHeight="1">
      <c r="A1" s="15" t="s">
        <v>540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15.75" customHeight="1">
      <c r="A2" s="16" t="s">
        <v>5</v>
      </c>
      <c r="B2" s="17" t="s">
        <v>10</v>
      </c>
      <c r="C2" s="18" t="s">
        <v>15</v>
      </c>
      <c r="D2" s="20" t="s">
        <v>22</v>
      </c>
      <c r="E2" s="21" t="s">
        <v>27</v>
      </c>
      <c r="F2" s="22" t="s">
        <v>32</v>
      </c>
      <c r="G2" s="23" t="s">
        <v>37</v>
      </c>
      <c r="H2" s="25" t="s">
        <v>42</v>
      </c>
      <c r="I2" s="26" t="s">
        <v>46</v>
      </c>
    </row>
    <row r="3" ht="30.0" customHeight="1">
      <c r="A3" s="27" t="s">
        <v>127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7" t="s">
        <v>133</v>
      </c>
      <c r="H3" s="27" t="s">
        <v>134</v>
      </c>
      <c r="I3" s="27" t="s">
        <v>135</v>
      </c>
      <c r="J3" s="27" t="s">
        <v>137</v>
      </c>
      <c r="K3" s="27" t="s">
        <v>138</v>
      </c>
      <c r="L3" s="27" t="s">
        <v>139</v>
      </c>
      <c r="M3" s="27" t="s">
        <v>140</v>
      </c>
    </row>
    <row r="4" ht="21.75" customHeight="1">
      <c r="A4" s="28"/>
      <c r="B4" s="28"/>
      <c r="C4" s="28"/>
      <c r="D4" s="28"/>
      <c r="E4" s="28"/>
      <c r="F4" s="28"/>
      <c r="G4" s="28"/>
      <c r="H4" s="28"/>
      <c r="I4" s="28"/>
      <c r="J4" s="30"/>
      <c r="K4" s="28"/>
      <c r="L4" s="28"/>
      <c r="M4" s="28"/>
    </row>
    <row r="5" ht="21.75" customHeight="1">
      <c r="A5" s="32"/>
      <c r="B5" s="32"/>
      <c r="C5" s="32"/>
      <c r="D5" s="32"/>
      <c r="E5" s="32"/>
      <c r="F5" s="32"/>
      <c r="G5" s="32"/>
      <c r="H5" s="32"/>
      <c r="I5" s="32"/>
      <c r="J5" s="33"/>
      <c r="K5" s="32"/>
      <c r="L5" s="32"/>
      <c r="M5" s="32"/>
    </row>
    <row r="6" ht="21.75" customHeight="1">
      <c r="A6" s="28"/>
      <c r="B6" s="28"/>
      <c r="C6" s="28"/>
      <c r="D6" s="28"/>
      <c r="E6" s="28"/>
      <c r="F6" s="28"/>
      <c r="G6" s="28"/>
      <c r="H6" s="28"/>
      <c r="I6" s="28"/>
      <c r="J6" s="30"/>
      <c r="K6" s="28"/>
      <c r="L6" s="28"/>
      <c r="M6" s="28"/>
    </row>
    <row r="7" ht="21.75" customHeight="1">
      <c r="A7" s="32"/>
      <c r="B7" s="32"/>
      <c r="C7" s="32"/>
      <c r="D7" s="32"/>
      <c r="E7" s="32"/>
      <c r="F7" s="32"/>
      <c r="G7" s="32"/>
      <c r="H7" s="32"/>
      <c r="I7" s="32"/>
      <c r="J7" s="33"/>
      <c r="K7" s="32"/>
      <c r="L7" s="32"/>
      <c r="M7" s="32"/>
    </row>
    <row r="8" ht="21.75" customHeight="1">
      <c r="A8" s="28"/>
      <c r="B8" s="28"/>
      <c r="C8" s="28"/>
      <c r="D8" s="28"/>
      <c r="E8" s="28"/>
      <c r="F8" s="28"/>
      <c r="G8" s="28"/>
      <c r="H8" s="28"/>
      <c r="I8" s="28"/>
      <c r="J8" s="30"/>
      <c r="K8" s="28"/>
      <c r="L8" s="28"/>
      <c r="M8" s="28"/>
    </row>
    <row r="9" ht="21.75" customHeight="1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ht="21.75" customHeight="1">
      <c r="A10" s="28"/>
      <c r="B10" s="28"/>
      <c r="C10" s="28"/>
      <c r="D10" s="28"/>
      <c r="E10" s="28"/>
      <c r="F10" s="28"/>
      <c r="G10" s="28"/>
      <c r="H10" s="28"/>
      <c r="I10" s="28"/>
      <c r="J10" s="30"/>
      <c r="K10" s="28"/>
      <c r="L10" s="28"/>
      <c r="M10" s="28"/>
    </row>
    <row r="11" ht="21.75" customHeight="1">
      <c r="A11" s="32"/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  <c r="M11" s="32"/>
    </row>
    <row r="12" ht="21.75" customHeight="1">
      <c r="A12" s="28"/>
      <c r="B12" s="28"/>
      <c r="C12" s="28"/>
      <c r="D12" s="28"/>
      <c r="E12" s="28"/>
      <c r="F12" s="28"/>
      <c r="G12" s="28"/>
      <c r="H12" s="28"/>
      <c r="I12" s="28"/>
      <c r="J12" s="30"/>
      <c r="K12" s="28"/>
      <c r="L12" s="28"/>
      <c r="M12" s="28"/>
    </row>
    <row r="13" ht="21.75" customHeight="1">
      <c r="A13" s="32"/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  <c r="M13" s="32"/>
    </row>
    <row r="14" ht="21.75" customHeight="1">
      <c r="A14" s="28"/>
      <c r="B14" s="28"/>
      <c r="C14" s="28"/>
      <c r="D14" s="28"/>
      <c r="E14" s="28"/>
      <c r="F14" s="28"/>
      <c r="G14" s="28"/>
      <c r="H14" s="28"/>
      <c r="I14" s="28"/>
      <c r="J14" s="30"/>
      <c r="K14" s="28"/>
      <c r="L14" s="28"/>
      <c r="M14" s="28"/>
    </row>
    <row r="15" ht="21.75" customHeight="1">
      <c r="A15" s="32"/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  <c r="M15" s="32"/>
    </row>
    <row r="16" ht="21.75" customHeight="1">
      <c r="A16" s="28"/>
      <c r="B16" s="28"/>
      <c r="C16" s="28"/>
      <c r="D16" s="28"/>
      <c r="E16" s="28"/>
      <c r="F16" s="28"/>
      <c r="G16" s="28"/>
      <c r="H16" s="28"/>
      <c r="I16" s="28"/>
      <c r="J16" s="30"/>
      <c r="K16" s="28"/>
      <c r="L16" s="28"/>
      <c r="M16" s="28"/>
    </row>
    <row r="17" ht="21.75" customHeight="1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ht="21.75" customHeight="1">
      <c r="A18" s="28"/>
      <c r="B18" s="28"/>
      <c r="C18" s="28"/>
      <c r="D18" s="28"/>
      <c r="E18" s="28"/>
      <c r="F18" s="28"/>
      <c r="G18" s="28"/>
      <c r="H18" s="28"/>
      <c r="I18" s="28"/>
      <c r="J18" s="30"/>
      <c r="K18" s="28"/>
      <c r="L18" s="28"/>
      <c r="M18" s="28"/>
    </row>
    <row r="19" ht="21.75" customHeight="1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ht="21.75" customHeight="1">
      <c r="A20" s="28"/>
      <c r="B20" s="28"/>
      <c r="C20" s="28"/>
      <c r="D20" s="28"/>
      <c r="E20" s="28"/>
      <c r="F20" s="28"/>
      <c r="G20" s="28"/>
      <c r="H20" s="28"/>
      <c r="I20" s="28"/>
      <c r="J20" s="30"/>
      <c r="K20" s="28"/>
      <c r="L20" s="28"/>
      <c r="M20" s="28"/>
    </row>
    <row r="21" ht="21.75" customHeight="1">
      <c r="A21" s="32"/>
      <c r="B21" s="32"/>
      <c r="C21" s="32"/>
      <c r="D21" s="32"/>
      <c r="E21" s="32"/>
      <c r="F21" s="32"/>
      <c r="G21" s="32"/>
      <c r="H21" s="32"/>
      <c r="I21" s="32"/>
      <c r="J21" s="33"/>
      <c r="K21" s="32"/>
      <c r="L21" s="32"/>
      <c r="M21" s="32"/>
    </row>
    <row r="22" ht="21.75" customHeight="1">
      <c r="A22" s="28"/>
      <c r="B22" s="28"/>
      <c r="C22" s="28"/>
      <c r="D22" s="28"/>
      <c r="E22" s="28"/>
      <c r="F22" s="28"/>
      <c r="G22" s="28"/>
      <c r="H22" s="28"/>
      <c r="I22" s="28"/>
      <c r="J22" s="30"/>
      <c r="K22" s="28"/>
      <c r="L22" s="28"/>
      <c r="M22" s="28"/>
    </row>
    <row r="23" ht="21.75" customHeight="1">
      <c r="A23" s="32"/>
      <c r="B23" s="32"/>
      <c r="C23" s="32"/>
      <c r="D23" s="32"/>
      <c r="E23" s="32"/>
      <c r="F23" s="32"/>
      <c r="G23" s="32"/>
      <c r="H23" s="32"/>
      <c r="I23" s="32"/>
      <c r="J23" s="33"/>
      <c r="K23" s="32"/>
      <c r="L23" s="32"/>
      <c r="M23" s="32"/>
    </row>
    <row r="24" ht="21.75" customHeight="1">
      <c r="A24" s="28"/>
      <c r="B24" s="28"/>
      <c r="C24" s="28"/>
      <c r="D24" s="28"/>
      <c r="E24" s="28"/>
      <c r="F24" s="28"/>
      <c r="G24" s="28"/>
      <c r="H24" s="28"/>
      <c r="I24" s="28"/>
      <c r="J24" s="30"/>
      <c r="K24" s="28"/>
      <c r="L24" s="28"/>
      <c r="M24" s="28"/>
    </row>
    <row r="25" ht="21.75" customHeight="1">
      <c r="A25" s="32"/>
      <c r="B25" s="32"/>
      <c r="C25" s="32"/>
      <c r="D25" s="32"/>
      <c r="E25" s="32"/>
      <c r="F25" s="32"/>
      <c r="G25" s="32"/>
      <c r="H25" s="32"/>
      <c r="I25" s="32"/>
      <c r="J25" s="33"/>
      <c r="K25" s="32"/>
      <c r="L25" s="32"/>
      <c r="M25" s="32"/>
    </row>
    <row r="26" ht="21.75" customHeight="1">
      <c r="A26" s="28"/>
      <c r="B26" s="28"/>
      <c r="C26" s="28"/>
      <c r="D26" s="28"/>
      <c r="E26" s="28"/>
      <c r="F26" s="28"/>
      <c r="G26" s="28"/>
      <c r="H26" s="28"/>
      <c r="I26" s="28"/>
      <c r="J26" s="30"/>
      <c r="K26" s="28"/>
      <c r="L26" s="28"/>
      <c r="M26" s="28"/>
    </row>
    <row r="27" ht="21.75" customHeight="1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ht="21.75" customHeight="1">
      <c r="A28" s="28"/>
      <c r="B28" s="28"/>
      <c r="C28" s="28"/>
      <c r="D28" s="28"/>
      <c r="E28" s="28"/>
      <c r="F28" s="28"/>
      <c r="G28" s="28"/>
      <c r="H28" s="28"/>
      <c r="I28" s="28"/>
      <c r="J28" s="30"/>
      <c r="K28" s="28"/>
      <c r="L28" s="28"/>
      <c r="M28" s="28"/>
    </row>
    <row r="29" ht="21.75" customHeight="1">
      <c r="A29" s="32"/>
      <c r="B29" s="32"/>
      <c r="C29" s="32"/>
      <c r="D29" s="32"/>
      <c r="E29" s="32"/>
      <c r="F29" s="32"/>
      <c r="G29" s="32"/>
      <c r="H29" s="32"/>
      <c r="I29" s="32"/>
      <c r="J29" s="33"/>
      <c r="K29" s="32"/>
      <c r="L29" s="32"/>
      <c r="M29" s="32"/>
    </row>
    <row r="30" ht="21.75" customHeight="1">
      <c r="A30" s="28"/>
      <c r="B30" s="28"/>
      <c r="C30" s="28"/>
      <c r="D30" s="28"/>
      <c r="E30" s="28"/>
      <c r="F30" s="28"/>
      <c r="G30" s="28"/>
      <c r="H30" s="28"/>
      <c r="I30" s="28"/>
      <c r="J30" s="30"/>
      <c r="K30" s="28"/>
      <c r="L30" s="28"/>
      <c r="M30" s="28"/>
    </row>
    <row r="31" ht="21.75" customHeight="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2"/>
      <c r="L31" s="32"/>
      <c r="M31" s="32"/>
    </row>
    <row r="32" ht="21.75" customHeight="1">
      <c r="A32" s="28"/>
      <c r="B32" s="28"/>
      <c r="C32" s="28"/>
      <c r="D32" s="28"/>
      <c r="E32" s="28"/>
      <c r="F32" s="28"/>
      <c r="G32" s="28"/>
      <c r="H32" s="28"/>
      <c r="I32" s="28"/>
      <c r="J32" s="30"/>
      <c r="K32" s="28"/>
      <c r="L32" s="28"/>
      <c r="M32" s="28"/>
    </row>
    <row r="33" ht="21.75" customHeight="1">
      <c r="A33" s="32"/>
      <c r="B33" s="32"/>
      <c r="C33" s="32"/>
      <c r="D33" s="32"/>
      <c r="E33" s="32"/>
      <c r="F33" s="32"/>
      <c r="G33" s="32"/>
      <c r="H33" s="32"/>
      <c r="I33" s="32"/>
      <c r="J33" s="33"/>
      <c r="K33" s="32"/>
      <c r="L33" s="32"/>
      <c r="M33" s="32"/>
    </row>
    <row r="34" ht="21.75" customHeight="1">
      <c r="A34" s="28"/>
      <c r="B34" s="28"/>
      <c r="C34" s="28"/>
      <c r="D34" s="28"/>
      <c r="E34" s="28"/>
      <c r="F34" s="28"/>
      <c r="G34" s="28"/>
      <c r="H34" s="28"/>
      <c r="I34" s="28"/>
      <c r="J34" s="30"/>
      <c r="K34" s="28"/>
      <c r="L34" s="28"/>
      <c r="M34" s="28"/>
    </row>
    <row r="35" ht="21.75" customHeight="1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ht="21.75" customHeight="1">
      <c r="A36" s="28"/>
      <c r="B36" s="28"/>
      <c r="C36" s="28"/>
      <c r="D36" s="28"/>
      <c r="E36" s="28"/>
      <c r="F36" s="28"/>
      <c r="G36" s="28"/>
      <c r="H36" s="28"/>
      <c r="I36" s="28"/>
      <c r="J36" s="30"/>
      <c r="K36" s="28"/>
      <c r="L36" s="28"/>
      <c r="M36" s="28"/>
    </row>
    <row r="37" ht="21.75" customHeight="1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ht="21.75" customHeight="1">
      <c r="A38" s="28"/>
      <c r="B38" s="28"/>
      <c r="C38" s="28"/>
      <c r="D38" s="28"/>
      <c r="E38" s="28"/>
      <c r="F38" s="28"/>
      <c r="G38" s="28"/>
      <c r="H38" s="28"/>
      <c r="I38" s="28"/>
      <c r="J38" s="30"/>
      <c r="K38" s="28"/>
      <c r="L38" s="28"/>
      <c r="M38" s="28"/>
    </row>
    <row r="39" ht="21.75" customHeight="1">
      <c r="A39" s="32"/>
      <c r="B39" s="32"/>
      <c r="C39" s="32"/>
      <c r="D39" s="32"/>
      <c r="E39" s="32"/>
      <c r="F39" s="32"/>
      <c r="G39" s="32"/>
      <c r="H39" s="32"/>
      <c r="I39" s="32"/>
      <c r="J39" s="33"/>
      <c r="K39" s="32"/>
      <c r="L39" s="32"/>
      <c r="M39" s="32"/>
    </row>
    <row r="40" ht="21.75" customHeight="1">
      <c r="A40" s="28"/>
      <c r="B40" s="28"/>
      <c r="C40" s="28"/>
      <c r="D40" s="28"/>
      <c r="E40" s="28"/>
      <c r="F40" s="28"/>
      <c r="G40" s="28"/>
      <c r="H40" s="28"/>
      <c r="I40" s="28"/>
      <c r="J40" s="30"/>
      <c r="K40" s="28"/>
      <c r="L40" s="28"/>
      <c r="M40" s="28"/>
    </row>
    <row r="41" ht="21.75" customHeight="1">
      <c r="A41" s="32"/>
      <c r="B41" s="32"/>
      <c r="C41" s="32"/>
      <c r="D41" s="32"/>
      <c r="E41" s="32"/>
      <c r="F41" s="32"/>
      <c r="G41" s="32"/>
      <c r="H41" s="32"/>
      <c r="I41" s="32"/>
      <c r="J41" s="33"/>
      <c r="K41" s="32"/>
      <c r="L41" s="32"/>
      <c r="M41" s="32"/>
    </row>
    <row r="42" ht="21.75" customHeight="1">
      <c r="A42" s="28"/>
      <c r="B42" s="28"/>
      <c r="C42" s="28"/>
      <c r="D42" s="28"/>
      <c r="E42" s="28"/>
      <c r="F42" s="28"/>
      <c r="G42" s="28"/>
      <c r="H42" s="28"/>
      <c r="I42" s="28"/>
      <c r="J42" s="30"/>
      <c r="K42" s="28"/>
      <c r="L42" s="28"/>
      <c r="M42" s="28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3"/>
      <c r="K43" s="32"/>
      <c r="L43" s="32"/>
      <c r="M43" s="32"/>
    </row>
    <row r="44" ht="21.75" customHeight="1">
      <c r="A44" s="28"/>
      <c r="B44" s="28"/>
      <c r="C44" s="28"/>
      <c r="D44" s="28"/>
      <c r="E44" s="28"/>
      <c r="F44" s="28"/>
      <c r="G44" s="28"/>
      <c r="H44" s="28"/>
      <c r="I44" s="28"/>
      <c r="J44" s="30"/>
      <c r="K44" s="28"/>
      <c r="L44" s="28"/>
      <c r="M44" s="28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ht="21.75" customHeight="1">
      <c r="A46" s="28"/>
      <c r="B46" s="28"/>
      <c r="C46" s="28"/>
      <c r="D46" s="28"/>
      <c r="E46" s="28"/>
      <c r="F46" s="28"/>
      <c r="G46" s="28"/>
      <c r="H46" s="28"/>
      <c r="I46" s="28"/>
      <c r="J46" s="30"/>
      <c r="K46" s="28"/>
      <c r="L46" s="28"/>
      <c r="M46" s="28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2"/>
      <c r="L47" s="32"/>
      <c r="M47" s="32"/>
    </row>
    <row r="48" ht="21.75" customHeight="1">
      <c r="A48" s="28"/>
      <c r="B48" s="28"/>
      <c r="C48" s="28"/>
      <c r="D48" s="28"/>
      <c r="E48" s="28"/>
      <c r="F48" s="28"/>
      <c r="G48" s="28"/>
      <c r="H48" s="28"/>
      <c r="I48" s="28"/>
      <c r="J48" s="30"/>
      <c r="K48" s="28"/>
      <c r="L48" s="28"/>
      <c r="M48" s="28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3"/>
      <c r="K49" s="32"/>
      <c r="L49" s="32"/>
      <c r="M49" s="32"/>
    </row>
    <row r="50" ht="21.75" customHeight="1">
      <c r="A50" s="28"/>
      <c r="B50" s="28"/>
      <c r="C50" s="28"/>
      <c r="D50" s="28"/>
      <c r="E50" s="28"/>
      <c r="F50" s="28"/>
      <c r="G50" s="28"/>
      <c r="H50" s="28"/>
      <c r="I50" s="28"/>
      <c r="J50" s="30"/>
      <c r="K50" s="28"/>
      <c r="L50" s="28"/>
      <c r="M50" s="28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3"/>
      <c r="K51" s="32"/>
      <c r="L51" s="32"/>
      <c r="M51" s="32"/>
    </row>
    <row r="52" ht="21.75" customHeight="1">
      <c r="A52" s="28"/>
      <c r="B52" s="28"/>
      <c r="C52" s="28"/>
      <c r="D52" s="28"/>
      <c r="E52" s="28"/>
      <c r="F52" s="28"/>
      <c r="G52" s="28"/>
      <c r="H52" s="28"/>
      <c r="I52" s="28"/>
      <c r="J52" s="30"/>
      <c r="K52" s="28"/>
      <c r="L52" s="28"/>
      <c r="M52" s="28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ht="21.75" customHeight="1">
      <c r="A54" s="28"/>
      <c r="B54" s="28"/>
      <c r="C54" s="28"/>
      <c r="D54" s="28"/>
      <c r="E54" s="28"/>
      <c r="F54" s="28"/>
      <c r="G54" s="28"/>
      <c r="H54" s="28"/>
      <c r="I54" s="28"/>
      <c r="J54" s="30"/>
      <c r="K54" s="28"/>
      <c r="L54" s="28"/>
      <c r="M54" s="28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ht="21.75" customHeight="1">
      <c r="A56" s="28"/>
      <c r="B56" s="28"/>
      <c r="C56" s="28"/>
      <c r="D56" s="28"/>
      <c r="E56" s="28"/>
      <c r="F56" s="28"/>
      <c r="G56" s="28"/>
      <c r="H56" s="28"/>
      <c r="I56" s="28"/>
      <c r="J56" s="30"/>
      <c r="K56" s="28"/>
      <c r="L56" s="28"/>
      <c r="M56" s="28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ht="21.75" customHeight="1">
      <c r="A58" s="28"/>
      <c r="B58" s="28"/>
      <c r="C58" s="28"/>
      <c r="D58" s="28"/>
      <c r="E58" s="28"/>
      <c r="F58" s="28"/>
      <c r="G58" s="28"/>
      <c r="H58" s="28"/>
      <c r="I58" s="28"/>
      <c r="J58" s="30"/>
      <c r="K58" s="28"/>
      <c r="L58" s="28"/>
      <c r="M58" s="28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3"/>
      <c r="K59" s="32"/>
      <c r="L59" s="32"/>
      <c r="M59" s="32"/>
    </row>
    <row r="60" ht="21.75" customHeight="1">
      <c r="A60" s="28"/>
      <c r="B60" s="28"/>
      <c r="C60" s="28"/>
      <c r="D60" s="28"/>
      <c r="E60" s="28"/>
      <c r="F60" s="28"/>
      <c r="G60" s="28"/>
      <c r="H60" s="28"/>
      <c r="I60" s="28"/>
      <c r="J60" s="30"/>
      <c r="K60" s="28"/>
      <c r="L60" s="28"/>
      <c r="M60" s="28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3"/>
      <c r="K61" s="32"/>
      <c r="L61" s="32"/>
      <c r="M61" s="32"/>
    </row>
    <row r="62" ht="21.75" customHeight="1">
      <c r="A62" s="28"/>
      <c r="B62" s="28"/>
      <c r="C62" s="28"/>
      <c r="D62" s="28"/>
      <c r="E62" s="28"/>
      <c r="F62" s="28"/>
      <c r="G62" s="28"/>
      <c r="H62" s="28"/>
      <c r="I62" s="28"/>
      <c r="J62" s="30"/>
      <c r="K62" s="28"/>
      <c r="L62" s="28"/>
      <c r="M62" s="28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3"/>
      <c r="K63" s="32"/>
      <c r="L63" s="32"/>
      <c r="M63" s="32"/>
    </row>
    <row r="64" ht="21.75" customHeight="1">
      <c r="A64" s="28"/>
      <c r="B64" s="28"/>
      <c r="C64" s="28"/>
      <c r="D64" s="28"/>
      <c r="E64" s="28"/>
      <c r="F64" s="28"/>
      <c r="G64" s="28"/>
      <c r="H64" s="28"/>
      <c r="I64" s="28"/>
      <c r="J64" s="30"/>
      <c r="K64" s="28"/>
      <c r="L64" s="28"/>
      <c r="M64" s="28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3"/>
      <c r="K65" s="32"/>
      <c r="L65" s="32"/>
      <c r="M65" s="32"/>
    </row>
    <row r="66" ht="21.75" customHeight="1">
      <c r="A66" s="28"/>
      <c r="B66" s="28"/>
      <c r="C66" s="28"/>
      <c r="D66" s="28"/>
      <c r="E66" s="28"/>
      <c r="F66" s="28"/>
      <c r="G66" s="28"/>
      <c r="H66" s="28"/>
      <c r="I66" s="28"/>
      <c r="J66" s="30"/>
      <c r="K66" s="28"/>
      <c r="L66" s="28"/>
      <c r="M66" s="28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2"/>
      <c r="L67" s="32"/>
      <c r="M67" s="32"/>
    </row>
    <row r="68" ht="21.75" customHeight="1">
      <c r="A68" s="28"/>
      <c r="B68" s="28"/>
      <c r="C68" s="28"/>
      <c r="D68" s="28"/>
      <c r="E68" s="28"/>
      <c r="F68" s="28"/>
      <c r="G68" s="28"/>
      <c r="H68" s="28"/>
      <c r="I68" s="28"/>
      <c r="J68" s="30"/>
      <c r="K68" s="28"/>
      <c r="L68" s="28"/>
      <c r="M68" s="28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ht="21.75" customHeight="1">
      <c r="A70" s="28"/>
      <c r="B70" s="28"/>
      <c r="C70" s="28"/>
      <c r="D70" s="28"/>
      <c r="E70" s="28"/>
      <c r="F70" s="28"/>
      <c r="G70" s="28"/>
      <c r="H70" s="28"/>
      <c r="I70" s="28"/>
      <c r="J70" s="30"/>
      <c r="K70" s="28"/>
      <c r="L70" s="28"/>
      <c r="M70" s="28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3"/>
      <c r="K71" s="32"/>
      <c r="L71" s="32"/>
      <c r="M71" s="32"/>
    </row>
    <row r="72" ht="21.75" customHeight="1">
      <c r="A72" s="28"/>
      <c r="B72" s="28"/>
      <c r="C72" s="28"/>
      <c r="D72" s="28"/>
      <c r="E72" s="28"/>
      <c r="F72" s="28"/>
      <c r="G72" s="28"/>
      <c r="H72" s="28"/>
      <c r="I72" s="28"/>
      <c r="J72" s="30"/>
      <c r="K72" s="28"/>
      <c r="L72" s="28"/>
      <c r="M72" s="28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3"/>
      <c r="K73" s="32"/>
      <c r="L73" s="32"/>
      <c r="M73" s="32"/>
    </row>
    <row r="74" ht="21.75" customHeight="1">
      <c r="A74" s="28"/>
      <c r="B74" s="28"/>
      <c r="C74" s="28"/>
      <c r="D74" s="28"/>
      <c r="E74" s="28"/>
      <c r="F74" s="28"/>
      <c r="G74" s="28"/>
      <c r="H74" s="28"/>
      <c r="I74" s="28"/>
      <c r="J74" s="30"/>
      <c r="K74" s="28"/>
      <c r="L74" s="28"/>
      <c r="M74" s="28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ht="21.75" customHeight="1">
      <c r="A76" s="28"/>
      <c r="B76" s="28"/>
      <c r="C76" s="28"/>
      <c r="D76" s="28"/>
      <c r="E76" s="28"/>
      <c r="F76" s="28"/>
      <c r="G76" s="28"/>
      <c r="H76" s="28"/>
      <c r="I76" s="28"/>
      <c r="J76" s="30"/>
      <c r="K76" s="28"/>
      <c r="L76" s="28"/>
      <c r="M76" s="28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ht="21.75" customHeight="1">
      <c r="A78" s="28"/>
      <c r="B78" s="28"/>
      <c r="C78" s="28"/>
      <c r="D78" s="28"/>
      <c r="E78" s="28"/>
      <c r="F78" s="28"/>
      <c r="G78" s="28"/>
      <c r="H78" s="28"/>
      <c r="I78" s="28"/>
      <c r="J78" s="30"/>
      <c r="K78" s="28"/>
      <c r="L78" s="28"/>
      <c r="M78" s="28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ht="21.75" customHeight="1">
      <c r="A80" s="28"/>
      <c r="B80" s="28"/>
      <c r="C80" s="28"/>
      <c r="D80" s="28"/>
      <c r="E80" s="28"/>
      <c r="F80" s="28"/>
      <c r="G80" s="28"/>
      <c r="H80" s="28"/>
      <c r="I80" s="28"/>
      <c r="J80" s="30"/>
      <c r="K80" s="28"/>
      <c r="L80" s="28"/>
      <c r="M80" s="28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3"/>
      <c r="K81" s="32"/>
      <c r="L81" s="32"/>
      <c r="M81" s="32"/>
    </row>
    <row r="82" ht="21.75" customHeight="1">
      <c r="A82" s="28"/>
      <c r="B82" s="28"/>
      <c r="C82" s="28"/>
      <c r="D82" s="28"/>
      <c r="E82" s="28"/>
      <c r="F82" s="28"/>
      <c r="G82" s="28"/>
      <c r="H82" s="28"/>
      <c r="I82" s="28"/>
      <c r="J82" s="30"/>
      <c r="K82" s="28"/>
      <c r="L82" s="28"/>
      <c r="M82" s="28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2"/>
      <c r="L83" s="32"/>
      <c r="M83" s="32"/>
    </row>
    <row r="84" ht="21.75" customHeight="1">
      <c r="A84" s="28"/>
      <c r="B84" s="28"/>
      <c r="C84" s="28"/>
      <c r="D84" s="28"/>
      <c r="E84" s="28"/>
      <c r="F84" s="28"/>
      <c r="G84" s="28"/>
      <c r="H84" s="28"/>
      <c r="I84" s="28"/>
      <c r="J84" s="30"/>
      <c r="K84" s="28"/>
      <c r="L84" s="28"/>
      <c r="M84" s="28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3"/>
      <c r="K85" s="32"/>
      <c r="L85" s="32"/>
      <c r="M85" s="32"/>
    </row>
    <row r="86" ht="21.75" customHeight="1">
      <c r="A86" s="28"/>
      <c r="B86" s="28"/>
      <c r="C86" s="28"/>
      <c r="D86" s="28"/>
      <c r="E86" s="28"/>
      <c r="F86" s="28"/>
      <c r="G86" s="28"/>
      <c r="H86" s="28"/>
      <c r="I86" s="28"/>
      <c r="J86" s="30"/>
      <c r="K86" s="28"/>
      <c r="L86" s="28"/>
      <c r="M86" s="28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ht="21.75" customHeight="1">
      <c r="A88" s="28"/>
      <c r="B88" s="28"/>
      <c r="C88" s="28"/>
      <c r="D88" s="28"/>
      <c r="E88" s="28"/>
      <c r="F88" s="28"/>
      <c r="G88" s="28"/>
      <c r="H88" s="28"/>
      <c r="I88" s="28"/>
      <c r="J88" s="30"/>
      <c r="K88" s="28"/>
      <c r="L88" s="28"/>
      <c r="M88" s="28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ht="21.75" customHeight="1">
      <c r="A90" s="28"/>
      <c r="B90" s="28"/>
      <c r="C90" s="28"/>
      <c r="D90" s="28"/>
      <c r="E90" s="28"/>
      <c r="F90" s="28"/>
      <c r="G90" s="28"/>
      <c r="H90" s="28"/>
      <c r="I90" s="28"/>
      <c r="J90" s="30"/>
      <c r="K90" s="28"/>
      <c r="L90" s="28"/>
      <c r="M90" s="28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ht="21.75" customHeight="1">
      <c r="A92" s="28"/>
      <c r="B92" s="28"/>
      <c r="C92" s="28"/>
      <c r="D92" s="28"/>
      <c r="E92" s="28"/>
      <c r="F92" s="28"/>
      <c r="G92" s="28"/>
      <c r="H92" s="28"/>
      <c r="I92" s="28"/>
      <c r="J92" s="30"/>
      <c r="K92" s="28"/>
      <c r="L92" s="28"/>
      <c r="M92" s="28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ht="21.75" customHeight="1">
      <c r="A94" s="28"/>
      <c r="B94" s="28"/>
      <c r="C94" s="28"/>
      <c r="D94" s="28"/>
      <c r="E94" s="28"/>
      <c r="F94" s="28"/>
      <c r="G94" s="28"/>
      <c r="H94" s="28"/>
      <c r="I94" s="28"/>
      <c r="J94" s="30"/>
      <c r="K94" s="28"/>
      <c r="L94" s="28"/>
      <c r="M94" s="28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ht="21.75" customHeight="1">
      <c r="A96" s="28"/>
      <c r="B96" s="28"/>
      <c r="C96" s="28"/>
      <c r="D96" s="28"/>
      <c r="E96" s="28"/>
      <c r="F96" s="28"/>
      <c r="G96" s="28"/>
      <c r="H96" s="28"/>
      <c r="I96" s="28"/>
      <c r="J96" s="30"/>
      <c r="K96" s="28"/>
      <c r="L96" s="28"/>
      <c r="M96" s="28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ht="21.75" customHeight="1">
      <c r="A98" s="28"/>
      <c r="B98" s="28"/>
      <c r="C98" s="28"/>
      <c r="D98" s="28"/>
      <c r="E98" s="28"/>
      <c r="F98" s="28"/>
      <c r="G98" s="28"/>
      <c r="H98" s="28"/>
      <c r="I98" s="28"/>
      <c r="J98" s="30"/>
      <c r="K98" s="28"/>
      <c r="L98" s="28"/>
      <c r="M98" s="28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ht="21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30"/>
      <c r="K100" s="28"/>
      <c r="L100" s="28"/>
      <c r="M100" s="28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ht="21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30"/>
      <c r="K102" s="28"/>
      <c r="L102" s="28"/>
      <c r="M102" s="28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ht="15.75" customHeight="1">
      <c r="C104" s="1"/>
      <c r="D104" s="1"/>
      <c r="E104" s="1"/>
      <c r="F104" s="1"/>
      <c r="J104" s="1"/>
      <c r="K104" s="1"/>
    </row>
    <row r="105" ht="15.75" customHeight="1">
      <c r="C105" s="1"/>
      <c r="D105" s="1"/>
      <c r="E105" s="1"/>
      <c r="F105" s="1"/>
      <c r="J105" s="1"/>
      <c r="K105" s="1"/>
    </row>
    <row r="106" ht="15.75" customHeight="1">
      <c r="C106" s="1"/>
      <c r="D106" s="1"/>
      <c r="E106" s="1"/>
      <c r="F106" s="1"/>
      <c r="J106" s="1"/>
      <c r="K106" s="1"/>
    </row>
    <row r="107" ht="15.75" customHeight="1">
      <c r="C107" s="1"/>
      <c r="D107" s="1"/>
      <c r="E107" s="1"/>
      <c r="F107" s="1"/>
      <c r="J107" s="1"/>
      <c r="K107" s="1"/>
    </row>
    <row r="108" ht="15.75" customHeight="1">
      <c r="C108" s="1"/>
      <c r="D108" s="1"/>
      <c r="E108" s="1"/>
      <c r="F108" s="1"/>
      <c r="J108" s="1"/>
      <c r="K108" s="1"/>
    </row>
    <row r="109" ht="15.75" customHeight="1">
      <c r="C109" s="1"/>
      <c r="D109" s="1"/>
      <c r="E109" s="1"/>
      <c r="F109" s="1"/>
      <c r="J109" s="1"/>
      <c r="K109" s="1"/>
    </row>
    <row r="110" ht="15.75" customHeight="1">
      <c r="C110" s="1"/>
      <c r="D110" s="1"/>
      <c r="E110" s="1"/>
      <c r="F110" s="1"/>
      <c r="J110" s="1"/>
      <c r="K110" s="1"/>
    </row>
    <row r="111" ht="15.75" customHeight="1">
      <c r="C111" s="1"/>
      <c r="D111" s="1"/>
      <c r="E111" s="1"/>
      <c r="F111" s="1"/>
      <c r="J111" s="1"/>
      <c r="K111" s="1"/>
    </row>
    <row r="112" ht="15.75" customHeight="1">
      <c r="C112" s="1"/>
      <c r="D112" s="1"/>
      <c r="E112" s="1"/>
      <c r="F112" s="1"/>
      <c r="J112" s="1"/>
      <c r="K112" s="1"/>
    </row>
    <row r="113" ht="15.75" customHeight="1">
      <c r="C113" s="1"/>
      <c r="D113" s="1"/>
      <c r="E113" s="1"/>
      <c r="F113" s="1"/>
      <c r="J113" s="1"/>
      <c r="K113" s="1"/>
    </row>
    <row r="114" ht="15.75" customHeight="1">
      <c r="C114" s="1"/>
      <c r="D114" s="1"/>
      <c r="E114" s="1"/>
      <c r="F114" s="1"/>
      <c r="J114" s="1"/>
      <c r="K114" s="1"/>
    </row>
    <row r="115" ht="15.75" customHeight="1">
      <c r="C115" s="1"/>
      <c r="D115" s="1"/>
      <c r="E115" s="1"/>
      <c r="F115" s="1"/>
      <c r="J115" s="1"/>
      <c r="K115" s="1"/>
    </row>
    <row r="116" ht="15.75" customHeight="1">
      <c r="C116" s="1"/>
      <c r="D116" s="1"/>
      <c r="E116" s="1"/>
      <c r="F116" s="1"/>
      <c r="J116" s="1"/>
      <c r="K116" s="1"/>
    </row>
    <row r="117" ht="15.75" customHeight="1">
      <c r="C117" s="1"/>
      <c r="D117" s="1"/>
      <c r="E117" s="1"/>
      <c r="F117" s="1"/>
      <c r="J117" s="1"/>
      <c r="K117" s="1"/>
    </row>
    <row r="118" ht="15.75" customHeight="1">
      <c r="C118" s="1"/>
      <c r="D118" s="1"/>
      <c r="E118" s="1"/>
      <c r="F118" s="1"/>
      <c r="J118" s="1"/>
      <c r="K118" s="1"/>
    </row>
    <row r="119" ht="15.75" customHeight="1">
      <c r="C119" s="1"/>
      <c r="D119" s="1"/>
      <c r="E119" s="1"/>
      <c r="F119" s="1"/>
      <c r="J119" s="1"/>
      <c r="K119" s="1"/>
    </row>
    <row r="120" ht="15.75" customHeight="1">
      <c r="C120" s="1"/>
      <c r="D120" s="1"/>
      <c r="E120" s="1"/>
      <c r="F120" s="1"/>
      <c r="J120" s="1"/>
      <c r="K120" s="1"/>
    </row>
    <row r="121" ht="15.75" customHeight="1">
      <c r="C121" s="1"/>
      <c r="D121" s="1"/>
      <c r="E121" s="1"/>
      <c r="F121" s="1"/>
      <c r="J121" s="1"/>
      <c r="K121" s="1"/>
    </row>
    <row r="122" ht="15.75" customHeight="1">
      <c r="C122" s="1"/>
      <c r="D122" s="1"/>
      <c r="E122" s="1"/>
      <c r="F122" s="1"/>
      <c r="J122" s="1"/>
      <c r="K122" s="1"/>
    </row>
    <row r="123" ht="15.75" customHeight="1">
      <c r="C123" s="1"/>
      <c r="D123" s="1"/>
      <c r="E123" s="1"/>
      <c r="F123" s="1"/>
      <c r="J123" s="1"/>
      <c r="K123" s="1"/>
    </row>
    <row r="124" ht="15.75" customHeight="1">
      <c r="C124" s="1"/>
      <c r="D124" s="1"/>
      <c r="E124" s="1"/>
      <c r="F124" s="1"/>
      <c r="J124" s="1"/>
      <c r="K124" s="1"/>
    </row>
    <row r="125" ht="15.75" customHeight="1">
      <c r="C125" s="1"/>
      <c r="D125" s="1"/>
      <c r="E125" s="1"/>
      <c r="F125" s="1"/>
      <c r="J125" s="1"/>
      <c r="K125" s="1"/>
    </row>
    <row r="126" ht="15.75" customHeight="1">
      <c r="C126" s="1"/>
      <c r="D126" s="1"/>
      <c r="E126" s="1"/>
      <c r="F126" s="1"/>
      <c r="J126" s="1"/>
      <c r="K126" s="1"/>
    </row>
    <row r="127" ht="15.75" customHeight="1">
      <c r="C127" s="1"/>
      <c r="D127" s="1"/>
      <c r="E127" s="1"/>
      <c r="F127" s="1"/>
      <c r="J127" s="1"/>
      <c r="K127" s="1"/>
    </row>
    <row r="128" ht="15.75" customHeight="1">
      <c r="C128" s="1"/>
      <c r="D128" s="1"/>
      <c r="E128" s="1"/>
      <c r="F128" s="1"/>
      <c r="J128" s="1"/>
      <c r="K128" s="1"/>
    </row>
    <row r="129" ht="15.75" customHeight="1">
      <c r="C129" s="1"/>
      <c r="D129" s="1"/>
      <c r="E129" s="1"/>
      <c r="F129" s="1"/>
      <c r="J129" s="1"/>
      <c r="K129" s="1"/>
    </row>
    <row r="130" ht="15.75" customHeight="1">
      <c r="C130" s="1"/>
      <c r="D130" s="1"/>
      <c r="E130" s="1"/>
      <c r="F130" s="1"/>
      <c r="J130" s="1"/>
      <c r="K130" s="1"/>
    </row>
    <row r="131" ht="15.75" customHeight="1">
      <c r="C131" s="1"/>
      <c r="D131" s="1"/>
      <c r="E131" s="1"/>
      <c r="F131" s="1"/>
      <c r="J131" s="1"/>
      <c r="K131" s="1"/>
    </row>
    <row r="132" ht="15.75" customHeight="1">
      <c r="C132" s="1"/>
      <c r="D132" s="1"/>
      <c r="E132" s="1"/>
      <c r="F132" s="1"/>
      <c r="J132" s="1"/>
      <c r="K132" s="1"/>
    </row>
    <row r="133" ht="15.75" customHeight="1">
      <c r="C133" s="1"/>
      <c r="D133" s="1"/>
      <c r="E133" s="1"/>
      <c r="F133" s="1"/>
      <c r="J133" s="1"/>
      <c r="K133" s="1"/>
    </row>
    <row r="134" ht="15.75" customHeight="1">
      <c r="C134" s="1"/>
      <c r="D134" s="1"/>
      <c r="E134" s="1"/>
      <c r="F134" s="1"/>
      <c r="J134" s="1"/>
      <c r="K134" s="1"/>
    </row>
    <row r="135" ht="15.75" customHeight="1">
      <c r="C135" s="1"/>
      <c r="D135" s="1"/>
      <c r="E135" s="1"/>
      <c r="F135" s="1"/>
      <c r="J135" s="1"/>
      <c r="K135" s="1"/>
    </row>
    <row r="136" ht="15.75" customHeight="1">
      <c r="C136" s="1"/>
      <c r="D136" s="1"/>
      <c r="E136" s="1"/>
      <c r="F136" s="1"/>
      <c r="J136" s="1"/>
      <c r="K136" s="1"/>
    </row>
    <row r="137" ht="15.75" customHeight="1">
      <c r="C137" s="1"/>
      <c r="D137" s="1"/>
      <c r="E137" s="1"/>
      <c r="F137" s="1"/>
      <c r="J137" s="1"/>
      <c r="K137" s="1"/>
    </row>
    <row r="138" ht="15.75" customHeight="1">
      <c r="C138" s="1"/>
      <c r="D138" s="1"/>
      <c r="E138" s="1"/>
      <c r="F138" s="1"/>
      <c r="J138" s="1"/>
      <c r="K138" s="1"/>
    </row>
    <row r="139" ht="15.75" customHeight="1">
      <c r="C139" s="1"/>
      <c r="D139" s="1"/>
      <c r="E139" s="1"/>
      <c r="F139" s="1"/>
      <c r="J139" s="1"/>
      <c r="K139" s="1"/>
    </row>
    <row r="140" ht="15.75" customHeight="1">
      <c r="C140" s="1"/>
      <c r="D140" s="1"/>
      <c r="E140" s="1"/>
      <c r="F140" s="1"/>
      <c r="J140" s="1"/>
      <c r="K140" s="1"/>
    </row>
    <row r="141" ht="15.75" customHeight="1">
      <c r="C141" s="1"/>
      <c r="D141" s="1"/>
      <c r="E141" s="1"/>
      <c r="F141" s="1"/>
      <c r="J141" s="1"/>
      <c r="K141" s="1"/>
    </row>
    <row r="142" ht="15.75" customHeight="1">
      <c r="C142" s="1"/>
      <c r="D142" s="1"/>
      <c r="E142" s="1"/>
      <c r="F142" s="1"/>
      <c r="J142" s="1"/>
      <c r="K142" s="1"/>
    </row>
    <row r="143" ht="15.75" customHeight="1">
      <c r="C143" s="1"/>
      <c r="D143" s="1"/>
      <c r="E143" s="1"/>
      <c r="F143" s="1"/>
      <c r="J143" s="1"/>
      <c r="K143" s="1"/>
    </row>
    <row r="144" ht="15.75" customHeight="1">
      <c r="C144" s="1"/>
      <c r="D144" s="1"/>
      <c r="E144" s="1"/>
      <c r="F144" s="1"/>
      <c r="J144" s="1"/>
      <c r="K144" s="1"/>
    </row>
    <row r="145" ht="15.75" customHeight="1">
      <c r="C145" s="1"/>
      <c r="D145" s="1"/>
      <c r="E145" s="1"/>
      <c r="F145" s="1"/>
      <c r="J145" s="1"/>
      <c r="K145" s="1"/>
    </row>
    <row r="146" ht="15.75" customHeight="1">
      <c r="C146" s="1"/>
      <c r="D146" s="1"/>
      <c r="E146" s="1"/>
      <c r="F146" s="1"/>
      <c r="J146" s="1"/>
      <c r="K146" s="1"/>
    </row>
    <row r="147" ht="15.75" customHeight="1">
      <c r="C147" s="1"/>
      <c r="D147" s="1"/>
      <c r="E147" s="1"/>
      <c r="F147" s="1"/>
      <c r="J147" s="1"/>
      <c r="K147" s="1"/>
    </row>
    <row r="148" ht="15.75" customHeight="1">
      <c r="C148" s="1"/>
      <c r="D148" s="1"/>
      <c r="E148" s="1"/>
      <c r="F148" s="1"/>
      <c r="J148" s="1"/>
      <c r="K148" s="1"/>
    </row>
    <row r="149" ht="15.75" customHeight="1">
      <c r="C149" s="1"/>
      <c r="D149" s="1"/>
      <c r="E149" s="1"/>
      <c r="F149" s="1"/>
      <c r="J149" s="1"/>
      <c r="K149" s="1"/>
    </row>
    <row r="150" ht="15.75" customHeight="1">
      <c r="C150" s="1"/>
      <c r="D150" s="1"/>
      <c r="E150" s="1"/>
      <c r="F150" s="1"/>
      <c r="J150" s="1"/>
      <c r="K150" s="1"/>
    </row>
    <row r="151" ht="15.75" customHeight="1">
      <c r="C151" s="1"/>
      <c r="D151" s="1"/>
      <c r="E151" s="1"/>
      <c r="F151" s="1"/>
      <c r="J151" s="1"/>
      <c r="K151" s="1"/>
    </row>
    <row r="152" ht="15.75" customHeight="1">
      <c r="C152" s="1"/>
      <c r="D152" s="1"/>
      <c r="E152" s="1"/>
      <c r="F152" s="1"/>
      <c r="J152" s="1"/>
      <c r="K152" s="1"/>
    </row>
    <row r="153" ht="15.75" customHeight="1">
      <c r="C153" s="1"/>
      <c r="D153" s="1"/>
      <c r="E153" s="1"/>
      <c r="F153" s="1"/>
      <c r="J153" s="1"/>
      <c r="K153" s="1"/>
    </row>
    <row r="154" ht="15.75" customHeight="1">
      <c r="C154" s="1"/>
      <c r="D154" s="1"/>
      <c r="E154" s="1"/>
      <c r="F154" s="1"/>
      <c r="J154" s="1"/>
      <c r="K154" s="1"/>
    </row>
    <row r="155" ht="15.75" customHeight="1">
      <c r="C155" s="1"/>
      <c r="D155" s="1"/>
      <c r="E155" s="1"/>
      <c r="F155" s="1"/>
      <c r="J155" s="1"/>
      <c r="K155" s="1"/>
    </row>
    <row r="156" ht="15.75" customHeight="1">
      <c r="C156" s="1"/>
      <c r="D156" s="1"/>
      <c r="E156" s="1"/>
      <c r="F156" s="1"/>
      <c r="J156" s="1"/>
      <c r="K156" s="1"/>
    </row>
    <row r="157" ht="15.75" customHeight="1">
      <c r="C157" s="1"/>
      <c r="D157" s="1"/>
      <c r="E157" s="1"/>
      <c r="F157" s="1"/>
      <c r="J157" s="1"/>
      <c r="K157" s="1"/>
    </row>
    <row r="158" ht="15.75" customHeight="1">
      <c r="C158" s="1"/>
      <c r="D158" s="1"/>
      <c r="E158" s="1"/>
      <c r="F158" s="1"/>
      <c r="J158" s="1"/>
      <c r="K158" s="1"/>
    </row>
    <row r="159" ht="15.75" customHeight="1">
      <c r="C159" s="1"/>
      <c r="D159" s="1"/>
      <c r="E159" s="1"/>
      <c r="F159" s="1"/>
      <c r="J159" s="1"/>
      <c r="K159" s="1"/>
    </row>
    <row r="160" ht="15.75" customHeight="1">
      <c r="C160" s="1"/>
      <c r="D160" s="1"/>
      <c r="E160" s="1"/>
      <c r="F160" s="1"/>
      <c r="J160" s="1"/>
      <c r="K160" s="1"/>
    </row>
    <row r="161" ht="15.75" customHeight="1">
      <c r="C161" s="1"/>
      <c r="D161" s="1"/>
      <c r="E161" s="1"/>
      <c r="F161" s="1"/>
      <c r="J161" s="1"/>
      <c r="K161" s="1"/>
    </row>
    <row r="162" ht="15.75" customHeight="1">
      <c r="C162" s="1"/>
      <c r="D162" s="1"/>
      <c r="E162" s="1"/>
      <c r="F162" s="1"/>
      <c r="J162" s="1"/>
      <c r="K162" s="1"/>
    </row>
    <row r="163" ht="15.75" customHeight="1">
      <c r="C163" s="1"/>
      <c r="D163" s="1"/>
      <c r="E163" s="1"/>
      <c r="F163" s="1"/>
      <c r="J163" s="1"/>
      <c r="K163" s="1"/>
    </row>
    <row r="164" ht="15.75" customHeight="1">
      <c r="C164" s="1"/>
      <c r="D164" s="1"/>
      <c r="E164" s="1"/>
      <c r="F164" s="1"/>
      <c r="J164" s="1"/>
      <c r="K164" s="1"/>
    </row>
    <row r="165" ht="15.75" customHeight="1">
      <c r="C165" s="1"/>
      <c r="D165" s="1"/>
      <c r="E165" s="1"/>
      <c r="F165" s="1"/>
      <c r="J165" s="1"/>
      <c r="K165" s="1"/>
    </row>
    <row r="166" ht="15.75" customHeight="1">
      <c r="C166" s="1"/>
      <c r="D166" s="1"/>
      <c r="E166" s="1"/>
      <c r="F166" s="1"/>
      <c r="J166" s="1"/>
      <c r="K166" s="1"/>
    </row>
    <row r="167" ht="15.75" customHeight="1">
      <c r="C167" s="1"/>
      <c r="D167" s="1"/>
      <c r="E167" s="1"/>
      <c r="F167" s="1"/>
      <c r="J167" s="1"/>
      <c r="K167" s="1"/>
    </row>
    <row r="168" ht="15.75" customHeight="1">
      <c r="C168" s="1"/>
      <c r="D168" s="1"/>
      <c r="E168" s="1"/>
      <c r="F168" s="1"/>
      <c r="J168" s="1"/>
      <c r="K168" s="1"/>
    </row>
    <row r="169" ht="15.75" customHeight="1">
      <c r="C169" s="1"/>
      <c r="D169" s="1"/>
      <c r="E169" s="1"/>
      <c r="F169" s="1"/>
      <c r="J169" s="1"/>
      <c r="K169" s="1"/>
    </row>
    <row r="170" ht="15.75" customHeight="1">
      <c r="C170" s="1"/>
      <c r="D170" s="1"/>
      <c r="E170" s="1"/>
      <c r="F170" s="1"/>
      <c r="J170" s="1"/>
      <c r="K170" s="1"/>
    </row>
    <row r="171" ht="15.75" customHeight="1">
      <c r="C171" s="1"/>
      <c r="D171" s="1"/>
      <c r="E171" s="1"/>
      <c r="F171" s="1"/>
      <c r="J171" s="1"/>
      <c r="K171" s="1"/>
    </row>
    <row r="172" ht="15.75" customHeight="1">
      <c r="C172" s="1"/>
      <c r="D172" s="1"/>
      <c r="E172" s="1"/>
      <c r="F172" s="1"/>
      <c r="J172" s="1"/>
      <c r="K172" s="1"/>
    </row>
    <row r="173" ht="15.75" customHeight="1">
      <c r="C173" s="1"/>
      <c r="D173" s="1"/>
      <c r="E173" s="1"/>
      <c r="F173" s="1"/>
      <c r="J173" s="1"/>
      <c r="K173" s="1"/>
    </row>
    <row r="174" ht="15.75" customHeight="1">
      <c r="C174" s="1"/>
      <c r="D174" s="1"/>
      <c r="E174" s="1"/>
      <c r="F174" s="1"/>
      <c r="J174" s="1"/>
      <c r="K174" s="1"/>
    </row>
    <row r="175" ht="15.75" customHeight="1">
      <c r="C175" s="1"/>
      <c r="D175" s="1"/>
      <c r="E175" s="1"/>
      <c r="F175" s="1"/>
      <c r="J175" s="1"/>
      <c r="K175" s="1"/>
    </row>
    <row r="176" ht="15.75" customHeight="1">
      <c r="C176" s="1"/>
      <c r="D176" s="1"/>
      <c r="E176" s="1"/>
      <c r="F176" s="1"/>
      <c r="J176" s="1"/>
      <c r="K176" s="1"/>
    </row>
    <row r="177" ht="15.75" customHeight="1">
      <c r="C177" s="1"/>
      <c r="D177" s="1"/>
      <c r="E177" s="1"/>
      <c r="F177" s="1"/>
      <c r="J177" s="1"/>
      <c r="K177" s="1"/>
    </row>
    <row r="178" ht="15.75" customHeight="1">
      <c r="C178" s="1"/>
      <c r="D178" s="1"/>
      <c r="E178" s="1"/>
      <c r="F178" s="1"/>
      <c r="J178" s="1"/>
      <c r="K178" s="1"/>
    </row>
    <row r="179" ht="15.75" customHeight="1">
      <c r="C179" s="1"/>
      <c r="D179" s="1"/>
      <c r="E179" s="1"/>
      <c r="F179" s="1"/>
      <c r="J179" s="1"/>
      <c r="K179" s="1"/>
    </row>
    <row r="180" ht="15.75" customHeight="1">
      <c r="C180" s="1"/>
      <c r="D180" s="1"/>
      <c r="E180" s="1"/>
      <c r="F180" s="1"/>
      <c r="J180" s="1"/>
      <c r="K180" s="1"/>
    </row>
    <row r="181" ht="15.75" customHeight="1">
      <c r="C181" s="1"/>
      <c r="D181" s="1"/>
      <c r="E181" s="1"/>
      <c r="F181" s="1"/>
      <c r="J181" s="1"/>
      <c r="K181" s="1"/>
    </row>
    <row r="182" ht="15.75" customHeight="1">
      <c r="C182" s="1"/>
      <c r="D182" s="1"/>
      <c r="E182" s="1"/>
      <c r="F182" s="1"/>
      <c r="J182" s="1"/>
      <c r="K182" s="1"/>
    </row>
    <row r="183" ht="15.75" customHeight="1">
      <c r="C183" s="1"/>
      <c r="D183" s="1"/>
      <c r="E183" s="1"/>
      <c r="F183" s="1"/>
      <c r="J183" s="1"/>
      <c r="K183" s="1"/>
    </row>
    <row r="184" ht="15.75" customHeight="1">
      <c r="C184" s="1"/>
      <c r="D184" s="1"/>
      <c r="E184" s="1"/>
      <c r="F184" s="1"/>
      <c r="J184" s="1"/>
      <c r="K184" s="1"/>
    </row>
    <row r="185" ht="15.75" customHeight="1">
      <c r="C185" s="1"/>
      <c r="D185" s="1"/>
      <c r="E185" s="1"/>
      <c r="F185" s="1"/>
      <c r="J185" s="1"/>
      <c r="K185" s="1"/>
    </row>
    <row r="186" ht="15.75" customHeight="1">
      <c r="C186" s="1"/>
      <c r="D186" s="1"/>
      <c r="E186" s="1"/>
      <c r="F186" s="1"/>
      <c r="J186" s="1"/>
      <c r="K186" s="1"/>
    </row>
    <row r="187" ht="15.75" customHeight="1">
      <c r="C187" s="1"/>
      <c r="D187" s="1"/>
      <c r="E187" s="1"/>
      <c r="F187" s="1"/>
      <c r="J187" s="1"/>
      <c r="K187" s="1"/>
    </row>
    <row r="188" ht="15.75" customHeight="1">
      <c r="C188" s="1"/>
      <c r="D188" s="1"/>
      <c r="E188" s="1"/>
      <c r="F188" s="1"/>
      <c r="J188" s="1"/>
      <c r="K188" s="1"/>
    </row>
    <row r="189" ht="15.75" customHeight="1">
      <c r="C189" s="1"/>
      <c r="D189" s="1"/>
      <c r="E189" s="1"/>
      <c r="F189" s="1"/>
      <c r="J189" s="1"/>
      <c r="K189" s="1"/>
    </row>
    <row r="190" ht="15.75" customHeight="1">
      <c r="C190" s="1"/>
      <c r="D190" s="1"/>
      <c r="E190" s="1"/>
      <c r="F190" s="1"/>
      <c r="J190" s="1"/>
      <c r="K190" s="1"/>
    </row>
    <row r="191" ht="15.75" customHeight="1">
      <c r="C191" s="1"/>
      <c r="D191" s="1"/>
      <c r="E191" s="1"/>
      <c r="F191" s="1"/>
      <c r="J191" s="1"/>
      <c r="K191" s="1"/>
    </row>
    <row r="192" ht="15.75" customHeight="1">
      <c r="C192" s="1"/>
      <c r="D192" s="1"/>
      <c r="E192" s="1"/>
      <c r="F192" s="1"/>
      <c r="J192" s="1"/>
      <c r="K192" s="1"/>
    </row>
    <row r="193" ht="15.75" customHeight="1">
      <c r="C193" s="1"/>
      <c r="D193" s="1"/>
      <c r="E193" s="1"/>
      <c r="F193" s="1"/>
      <c r="J193" s="1"/>
      <c r="K193" s="1"/>
    </row>
    <row r="194" ht="15.75" customHeight="1">
      <c r="C194" s="1"/>
      <c r="D194" s="1"/>
      <c r="E194" s="1"/>
      <c r="F194" s="1"/>
      <c r="J194" s="1"/>
      <c r="K194" s="1"/>
    </row>
    <row r="195" ht="15.75" customHeight="1">
      <c r="C195" s="1"/>
      <c r="D195" s="1"/>
      <c r="E195" s="1"/>
      <c r="F195" s="1"/>
      <c r="J195" s="1"/>
      <c r="K195" s="1"/>
    </row>
    <row r="196" ht="15.75" customHeight="1">
      <c r="C196" s="1"/>
      <c r="D196" s="1"/>
      <c r="E196" s="1"/>
      <c r="F196" s="1"/>
      <c r="J196" s="1"/>
      <c r="K196" s="1"/>
    </row>
    <row r="197" ht="15.75" customHeight="1">
      <c r="C197" s="1"/>
      <c r="D197" s="1"/>
      <c r="E197" s="1"/>
      <c r="F197" s="1"/>
      <c r="J197" s="1"/>
      <c r="K197" s="1"/>
    </row>
    <row r="198" ht="15.75" customHeight="1">
      <c r="C198" s="1"/>
      <c r="D198" s="1"/>
      <c r="E198" s="1"/>
      <c r="F198" s="1"/>
      <c r="J198" s="1"/>
      <c r="K198" s="1"/>
    </row>
    <row r="199" ht="15.75" customHeight="1">
      <c r="C199" s="1"/>
      <c r="D199" s="1"/>
      <c r="E199" s="1"/>
      <c r="F199" s="1"/>
      <c r="J199" s="1"/>
      <c r="K199" s="1"/>
    </row>
    <row r="200" ht="15.75" customHeight="1">
      <c r="C200" s="1"/>
      <c r="D200" s="1"/>
      <c r="E200" s="1"/>
      <c r="F200" s="1"/>
      <c r="J200" s="1"/>
      <c r="K200" s="1"/>
    </row>
    <row r="201" ht="15.75" customHeight="1">
      <c r="C201" s="1"/>
      <c r="D201" s="1"/>
      <c r="E201" s="1"/>
      <c r="F201" s="1"/>
      <c r="J201" s="1"/>
      <c r="K201" s="1"/>
    </row>
    <row r="202" ht="15.75" customHeight="1">
      <c r="C202" s="1"/>
      <c r="D202" s="1"/>
      <c r="E202" s="1"/>
      <c r="F202" s="1"/>
      <c r="J202" s="1"/>
      <c r="K202" s="1"/>
    </row>
    <row r="203" ht="15.75" customHeight="1">
      <c r="C203" s="1"/>
      <c r="D203" s="1"/>
      <c r="E203" s="1"/>
      <c r="F203" s="1"/>
      <c r="J203" s="1"/>
      <c r="K203" s="1"/>
    </row>
    <row r="204" ht="15.75" customHeight="1">
      <c r="C204" s="1"/>
      <c r="D204" s="1"/>
      <c r="E204" s="1"/>
      <c r="F204" s="1"/>
      <c r="J204" s="1"/>
      <c r="K204" s="1"/>
    </row>
    <row r="205" ht="15.75" customHeight="1">
      <c r="C205" s="1"/>
      <c r="D205" s="1"/>
      <c r="E205" s="1"/>
      <c r="F205" s="1"/>
      <c r="J205" s="1"/>
      <c r="K205" s="1"/>
    </row>
    <row r="206" ht="15.75" customHeight="1">
      <c r="C206" s="1"/>
      <c r="D206" s="1"/>
      <c r="E206" s="1"/>
      <c r="F206" s="1"/>
      <c r="J206" s="1"/>
      <c r="K206" s="1"/>
    </row>
    <row r="207" ht="15.75" customHeight="1">
      <c r="C207" s="1"/>
      <c r="D207" s="1"/>
      <c r="E207" s="1"/>
      <c r="F207" s="1"/>
      <c r="J207" s="1"/>
      <c r="K207" s="1"/>
    </row>
    <row r="208" ht="15.75" customHeight="1">
      <c r="C208" s="1"/>
      <c r="D208" s="1"/>
      <c r="E208" s="1"/>
      <c r="F208" s="1"/>
      <c r="J208" s="1"/>
      <c r="K208" s="1"/>
    </row>
    <row r="209" ht="15.75" customHeight="1">
      <c r="C209" s="1"/>
      <c r="D209" s="1"/>
      <c r="E209" s="1"/>
      <c r="F209" s="1"/>
      <c r="J209" s="1"/>
      <c r="K209" s="1"/>
    </row>
    <row r="210" ht="15.75" customHeight="1">
      <c r="C210" s="1"/>
      <c r="D210" s="1"/>
      <c r="E210" s="1"/>
      <c r="F210" s="1"/>
      <c r="J210" s="1"/>
      <c r="K210" s="1"/>
    </row>
    <row r="211" ht="15.75" customHeight="1">
      <c r="C211" s="1"/>
      <c r="D211" s="1"/>
      <c r="E211" s="1"/>
      <c r="F211" s="1"/>
      <c r="J211" s="1"/>
      <c r="K211" s="1"/>
    </row>
    <row r="212" ht="15.75" customHeight="1">
      <c r="C212" s="1"/>
      <c r="D212" s="1"/>
      <c r="E212" s="1"/>
      <c r="F212" s="1"/>
      <c r="J212" s="1"/>
      <c r="K212" s="1"/>
    </row>
    <row r="213" ht="15.75" customHeight="1">
      <c r="C213" s="1"/>
      <c r="D213" s="1"/>
      <c r="E213" s="1"/>
      <c r="F213" s="1"/>
      <c r="J213" s="1"/>
      <c r="K213" s="1"/>
    </row>
    <row r="214" ht="15.75" customHeight="1">
      <c r="C214" s="1"/>
      <c r="D214" s="1"/>
      <c r="E214" s="1"/>
      <c r="F214" s="1"/>
      <c r="J214" s="1"/>
      <c r="K214" s="1"/>
    </row>
    <row r="215" ht="15.75" customHeight="1">
      <c r="C215" s="1"/>
      <c r="D215" s="1"/>
      <c r="E215" s="1"/>
      <c r="F215" s="1"/>
      <c r="J215" s="1"/>
      <c r="K215" s="1"/>
    </row>
    <row r="216" ht="15.75" customHeight="1">
      <c r="C216" s="1"/>
      <c r="D216" s="1"/>
      <c r="E216" s="1"/>
      <c r="F216" s="1"/>
      <c r="J216" s="1"/>
      <c r="K216" s="1"/>
    </row>
    <row r="217" ht="15.75" customHeight="1">
      <c r="C217" s="1"/>
      <c r="D217" s="1"/>
      <c r="E217" s="1"/>
      <c r="F217" s="1"/>
      <c r="J217" s="1"/>
      <c r="K217" s="1"/>
    </row>
    <row r="218" ht="15.75" customHeight="1">
      <c r="C218" s="1"/>
      <c r="D218" s="1"/>
      <c r="E218" s="1"/>
      <c r="F218" s="1"/>
      <c r="J218" s="1"/>
      <c r="K218" s="1"/>
    </row>
    <row r="219" ht="15.75" customHeight="1">
      <c r="C219" s="1"/>
      <c r="D219" s="1"/>
      <c r="E219" s="1"/>
      <c r="F219" s="1"/>
      <c r="J219" s="1"/>
      <c r="K219" s="1"/>
    </row>
    <row r="220" ht="15.75" customHeight="1">
      <c r="C220" s="1"/>
      <c r="D220" s="1"/>
      <c r="E220" s="1"/>
      <c r="F220" s="1"/>
      <c r="J220" s="1"/>
      <c r="K220" s="1"/>
    </row>
    <row r="221" ht="15.75" customHeight="1">
      <c r="C221" s="1"/>
      <c r="D221" s="1"/>
      <c r="E221" s="1"/>
      <c r="F221" s="1"/>
      <c r="J221" s="1"/>
      <c r="K221" s="1"/>
    </row>
    <row r="222" ht="15.75" customHeight="1">
      <c r="C222" s="1"/>
      <c r="D222" s="1"/>
      <c r="E222" s="1"/>
      <c r="F222" s="1"/>
      <c r="J222" s="1"/>
      <c r="K222" s="1"/>
    </row>
    <row r="223" ht="15.75" customHeight="1">
      <c r="C223" s="1"/>
      <c r="D223" s="1"/>
      <c r="E223" s="1"/>
      <c r="F223" s="1"/>
      <c r="J223" s="1"/>
      <c r="K223" s="1"/>
    </row>
    <row r="224" ht="15.75" customHeight="1">
      <c r="C224" s="1"/>
      <c r="D224" s="1"/>
      <c r="E224" s="1"/>
      <c r="F224" s="1"/>
      <c r="J224" s="1"/>
      <c r="K224" s="1"/>
    </row>
    <row r="225" ht="15.75" customHeight="1">
      <c r="C225" s="1"/>
      <c r="D225" s="1"/>
      <c r="E225" s="1"/>
      <c r="F225" s="1"/>
      <c r="J225" s="1"/>
      <c r="K225" s="1"/>
    </row>
    <row r="226" ht="15.75" customHeight="1">
      <c r="C226" s="1"/>
      <c r="D226" s="1"/>
      <c r="E226" s="1"/>
      <c r="F226" s="1"/>
      <c r="J226" s="1"/>
      <c r="K226" s="1"/>
    </row>
    <row r="227" ht="15.75" customHeight="1">
      <c r="C227" s="1"/>
      <c r="D227" s="1"/>
      <c r="E227" s="1"/>
      <c r="F227" s="1"/>
      <c r="J227" s="1"/>
      <c r="K227" s="1"/>
    </row>
    <row r="228" ht="15.75" customHeight="1">
      <c r="C228" s="1"/>
      <c r="D228" s="1"/>
      <c r="E228" s="1"/>
      <c r="F228" s="1"/>
      <c r="J228" s="1"/>
      <c r="K228" s="1"/>
    </row>
    <row r="229" ht="15.75" customHeight="1">
      <c r="C229" s="1"/>
      <c r="D229" s="1"/>
      <c r="E229" s="1"/>
      <c r="F229" s="1"/>
      <c r="J229" s="1"/>
      <c r="K229" s="1"/>
    </row>
    <row r="230" ht="15.75" customHeight="1">
      <c r="C230" s="1"/>
      <c r="D230" s="1"/>
      <c r="E230" s="1"/>
      <c r="F230" s="1"/>
      <c r="J230" s="1"/>
      <c r="K230" s="1"/>
    </row>
    <row r="231" ht="15.75" customHeight="1">
      <c r="C231" s="1"/>
      <c r="D231" s="1"/>
      <c r="E231" s="1"/>
      <c r="F231" s="1"/>
      <c r="J231" s="1"/>
      <c r="K231" s="1"/>
    </row>
    <row r="232" ht="15.75" customHeight="1">
      <c r="C232" s="1"/>
      <c r="D232" s="1"/>
      <c r="E232" s="1"/>
      <c r="F232" s="1"/>
      <c r="J232" s="1"/>
      <c r="K232" s="1"/>
    </row>
    <row r="233" ht="15.75" customHeight="1">
      <c r="C233" s="1"/>
      <c r="D233" s="1"/>
      <c r="E233" s="1"/>
      <c r="F233" s="1"/>
      <c r="J233" s="1"/>
      <c r="K233" s="1"/>
    </row>
    <row r="234" ht="15.75" customHeight="1">
      <c r="C234" s="1"/>
      <c r="D234" s="1"/>
      <c r="E234" s="1"/>
      <c r="F234" s="1"/>
      <c r="J234" s="1"/>
      <c r="K234" s="1"/>
    </row>
    <row r="235" ht="15.75" customHeight="1">
      <c r="C235" s="1"/>
      <c r="D235" s="1"/>
      <c r="E235" s="1"/>
      <c r="F235" s="1"/>
      <c r="J235" s="1"/>
      <c r="K235" s="1"/>
    </row>
    <row r="236" ht="15.75" customHeight="1">
      <c r="C236" s="1"/>
      <c r="D236" s="1"/>
      <c r="E236" s="1"/>
      <c r="F236" s="1"/>
      <c r="J236" s="1"/>
      <c r="K236" s="1"/>
    </row>
    <row r="237" ht="15.75" customHeight="1">
      <c r="C237" s="1"/>
      <c r="D237" s="1"/>
      <c r="E237" s="1"/>
      <c r="F237" s="1"/>
      <c r="J237" s="1"/>
      <c r="K237" s="1"/>
    </row>
    <row r="238" ht="15.75" customHeight="1">
      <c r="C238" s="1"/>
      <c r="D238" s="1"/>
      <c r="E238" s="1"/>
      <c r="F238" s="1"/>
      <c r="J238" s="1"/>
      <c r="K238" s="1"/>
    </row>
    <row r="239" ht="15.75" customHeight="1">
      <c r="C239" s="1"/>
      <c r="D239" s="1"/>
      <c r="E239" s="1"/>
      <c r="F239" s="1"/>
      <c r="J239" s="1"/>
      <c r="K239" s="1"/>
    </row>
    <row r="240" ht="15.75" customHeight="1">
      <c r="C240" s="1"/>
      <c r="D240" s="1"/>
      <c r="E240" s="1"/>
      <c r="F240" s="1"/>
      <c r="J240" s="1"/>
      <c r="K240" s="1"/>
    </row>
    <row r="241" ht="15.75" customHeight="1">
      <c r="C241" s="1"/>
      <c r="D241" s="1"/>
      <c r="E241" s="1"/>
      <c r="F241" s="1"/>
      <c r="J241" s="1"/>
      <c r="K241" s="1"/>
    </row>
    <row r="242" ht="15.75" customHeight="1">
      <c r="C242" s="1"/>
      <c r="D242" s="1"/>
      <c r="E242" s="1"/>
      <c r="F242" s="1"/>
      <c r="J242" s="1"/>
      <c r="K242" s="1"/>
    </row>
    <row r="243" ht="15.75" customHeight="1">
      <c r="C243" s="1"/>
      <c r="D243" s="1"/>
      <c r="E243" s="1"/>
      <c r="F243" s="1"/>
      <c r="J243" s="1"/>
      <c r="K243" s="1"/>
    </row>
    <row r="244" ht="15.75" customHeight="1">
      <c r="C244" s="1"/>
      <c r="D244" s="1"/>
      <c r="E244" s="1"/>
      <c r="F244" s="1"/>
      <c r="J244" s="1"/>
      <c r="K244" s="1"/>
    </row>
    <row r="245" ht="15.75" customHeight="1">
      <c r="C245" s="1"/>
      <c r="D245" s="1"/>
      <c r="E245" s="1"/>
      <c r="F245" s="1"/>
      <c r="J245" s="1"/>
      <c r="K245" s="1"/>
    </row>
    <row r="246" ht="15.75" customHeight="1">
      <c r="C246" s="1"/>
      <c r="D246" s="1"/>
      <c r="E246" s="1"/>
      <c r="F246" s="1"/>
      <c r="J246" s="1"/>
      <c r="K246" s="1"/>
    </row>
    <row r="247" ht="15.75" customHeight="1">
      <c r="C247" s="1"/>
      <c r="D247" s="1"/>
      <c r="E247" s="1"/>
      <c r="F247" s="1"/>
      <c r="J247" s="1"/>
      <c r="K247" s="1"/>
    </row>
    <row r="248" ht="15.75" customHeight="1">
      <c r="C248" s="1"/>
      <c r="D248" s="1"/>
      <c r="E248" s="1"/>
      <c r="F248" s="1"/>
      <c r="J248" s="1"/>
      <c r="K248" s="1"/>
    </row>
    <row r="249" ht="15.75" customHeight="1">
      <c r="C249" s="1"/>
      <c r="D249" s="1"/>
      <c r="E249" s="1"/>
      <c r="F249" s="1"/>
      <c r="J249" s="1"/>
      <c r="K249" s="1"/>
    </row>
    <row r="250" ht="15.75" customHeight="1">
      <c r="C250" s="1"/>
      <c r="D250" s="1"/>
      <c r="E250" s="1"/>
      <c r="F250" s="1"/>
      <c r="J250" s="1"/>
      <c r="K250" s="1"/>
    </row>
    <row r="251" ht="15.75" customHeight="1">
      <c r="C251" s="1"/>
      <c r="D251" s="1"/>
      <c r="E251" s="1"/>
      <c r="F251" s="1"/>
      <c r="J251" s="1"/>
      <c r="K251" s="1"/>
    </row>
    <row r="252" ht="15.75" customHeight="1">
      <c r="C252" s="1"/>
      <c r="D252" s="1"/>
      <c r="E252" s="1"/>
      <c r="F252" s="1"/>
      <c r="J252" s="1"/>
      <c r="K252" s="1"/>
    </row>
    <row r="253" ht="15.75" customHeight="1">
      <c r="C253" s="1"/>
      <c r="D253" s="1"/>
      <c r="E253" s="1"/>
      <c r="F253" s="1"/>
      <c r="J253" s="1"/>
      <c r="K253" s="1"/>
    </row>
    <row r="254" ht="15.75" customHeight="1">
      <c r="C254" s="1"/>
      <c r="D254" s="1"/>
      <c r="E254" s="1"/>
      <c r="F254" s="1"/>
      <c r="J254" s="1"/>
      <c r="K254" s="1"/>
    </row>
    <row r="255" ht="15.75" customHeight="1">
      <c r="C255" s="1"/>
      <c r="D255" s="1"/>
      <c r="E255" s="1"/>
      <c r="F255" s="1"/>
      <c r="J255" s="1"/>
      <c r="K255" s="1"/>
    </row>
    <row r="256" ht="15.75" customHeight="1">
      <c r="C256" s="1"/>
      <c r="D256" s="1"/>
      <c r="E256" s="1"/>
      <c r="F256" s="1"/>
      <c r="J256" s="1"/>
      <c r="K256" s="1"/>
    </row>
    <row r="257" ht="15.75" customHeight="1">
      <c r="C257" s="1"/>
      <c r="D257" s="1"/>
      <c r="E257" s="1"/>
      <c r="F257" s="1"/>
      <c r="J257" s="1"/>
      <c r="K257" s="1"/>
    </row>
    <row r="258" ht="15.75" customHeight="1">
      <c r="C258" s="1"/>
      <c r="D258" s="1"/>
      <c r="E258" s="1"/>
      <c r="F258" s="1"/>
      <c r="J258" s="1"/>
      <c r="K258" s="1"/>
    </row>
    <row r="259" ht="15.75" customHeight="1">
      <c r="C259" s="1"/>
      <c r="D259" s="1"/>
      <c r="E259" s="1"/>
      <c r="F259" s="1"/>
      <c r="J259" s="1"/>
      <c r="K259" s="1"/>
    </row>
    <row r="260" ht="15.75" customHeight="1">
      <c r="C260" s="1"/>
      <c r="D260" s="1"/>
      <c r="E260" s="1"/>
      <c r="F260" s="1"/>
      <c r="J260" s="1"/>
      <c r="K260" s="1"/>
    </row>
    <row r="261" ht="15.75" customHeight="1">
      <c r="C261" s="1"/>
      <c r="D261" s="1"/>
      <c r="E261" s="1"/>
      <c r="F261" s="1"/>
      <c r="J261" s="1"/>
      <c r="K261" s="1"/>
    </row>
    <row r="262" ht="15.75" customHeight="1">
      <c r="C262" s="1"/>
      <c r="D262" s="1"/>
      <c r="E262" s="1"/>
      <c r="F262" s="1"/>
      <c r="J262" s="1"/>
      <c r="K262" s="1"/>
    </row>
    <row r="263" ht="15.75" customHeight="1">
      <c r="C263" s="1"/>
      <c r="D263" s="1"/>
      <c r="E263" s="1"/>
      <c r="F263" s="1"/>
      <c r="J263" s="1"/>
      <c r="K263" s="1"/>
    </row>
    <row r="264" ht="15.75" customHeight="1">
      <c r="C264" s="1"/>
      <c r="D264" s="1"/>
      <c r="E264" s="1"/>
      <c r="F264" s="1"/>
      <c r="J264" s="1"/>
      <c r="K264" s="1"/>
    </row>
    <row r="265" ht="15.75" customHeight="1">
      <c r="C265" s="1"/>
      <c r="D265" s="1"/>
      <c r="E265" s="1"/>
      <c r="F265" s="1"/>
      <c r="J265" s="1"/>
      <c r="K265" s="1"/>
    </row>
    <row r="266" ht="15.75" customHeight="1">
      <c r="C266" s="1"/>
      <c r="D266" s="1"/>
      <c r="E266" s="1"/>
      <c r="F266" s="1"/>
      <c r="J266" s="1"/>
      <c r="K266" s="1"/>
    </row>
    <row r="267" ht="15.75" customHeight="1">
      <c r="C267" s="1"/>
      <c r="D267" s="1"/>
      <c r="E267" s="1"/>
      <c r="F267" s="1"/>
      <c r="J267" s="1"/>
      <c r="K267" s="1"/>
    </row>
    <row r="268" ht="15.75" customHeight="1">
      <c r="C268" s="1"/>
      <c r="D268" s="1"/>
      <c r="E268" s="1"/>
      <c r="F268" s="1"/>
      <c r="J268" s="1"/>
      <c r="K268" s="1"/>
    </row>
    <row r="269" ht="15.75" customHeight="1">
      <c r="C269" s="1"/>
      <c r="D269" s="1"/>
      <c r="E269" s="1"/>
      <c r="F269" s="1"/>
      <c r="J269" s="1"/>
      <c r="K269" s="1"/>
    </row>
    <row r="270" ht="15.75" customHeight="1">
      <c r="C270" s="1"/>
      <c r="D270" s="1"/>
      <c r="E270" s="1"/>
      <c r="F270" s="1"/>
      <c r="J270" s="1"/>
      <c r="K270" s="1"/>
    </row>
    <row r="271" ht="15.75" customHeight="1">
      <c r="C271" s="1"/>
      <c r="D271" s="1"/>
      <c r="E271" s="1"/>
      <c r="F271" s="1"/>
      <c r="J271" s="1"/>
      <c r="K271" s="1"/>
    </row>
    <row r="272" ht="15.75" customHeight="1">
      <c r="C272" s="1"/>
      <c r="D272" s="1"/>
      <c r="E272" s="1"/>
      <c r="F272" s="1"/>
      <c r="J272" s="1"/>
      <c r="K272" s="1"/>
    </row>
    <row r="273" ht="15.75" customHeight="1">
      <c r="C273" s="1"/>
      <c r="D273" s="1"/>
      <c r="E273" s="1"/>
      <c r="F273" s="1"/>
      <c r="J273" s="1"/>
      <c r="K273" s="1"/>
    </row>
    <row r="274" ht="15.75" customHeight="1">
      <c r="C274" s="1"/>
      <c r="D274" s="1"/>
      <c r="E274" s="1"/>
      <c r="F274" s="1"/>
      <c r="J274" s="1"/>
      <c r="K274" s="1"/>
    </row>
    <row r="275" ht="15.75" customHeight="1">
      <c r="C275" s="1"/>
      <c r="D275" s="1"/>
      <c r="E275" s="1"/>
      <c r="F275" s="1"/>
      <c r="J275" s="1"/>
      <c r="K275" s="1"/>
    </row>
    <row r="276" ht="15.75" customHeight="1">
      <c r="C276" s="1"/>
      <c r="D276" s="1"/>
      <c r="E276" s="1"/>
      <c r="F276" s="1"/>
      <c r="J276" s="1"/>
      <c r="K276" s="1"/>
    </row>
    <row r="277" ht="15.75" customHeight="1">
      <c r="C277" s="1"/>
      <c r="D277" s="1"/>
      <c r="E277" s="1"/>
      <c r="F277" s="1"/>
      <c r="J277" s="1"/>
      <c r="K277" s="1"/>
    </row>
    <row r="278" ht="15.75" customHeight="1">
      <c r="C278" s="1"/>
      <c r="D278" s="1"/>
      <c r="E278" s="1"/>
      <c r="F278" s="1"/>
      <c r="J278" s="1"/>
      <c r="K278" s="1"/>
    </row>
    <row r="279" ht="15.75" customHeight="1">
      <c r="C279" s="1"/>
      <c r="D279" s="1"/>
      <c r="E279" s="1"/>
      <c r="F279" s="1"/>
      <c r="J279" s="1"/>
      <c r="K279" s="1"/>
    </row>
    <row r="280" ht="15.75" customHeight="1">
      <c r="C280" s="1"/>
      <c r="D280" s="1"/>
      <c r="E280" s="1"/>
      <c r="F280" s="1"/>
      <c r="J280" s="1"/>
      <c r="K280" s="1"/>
    </row>
    <row r="281" ht="15.75" customHeight="1">
      <c r="C281" s="1"/>
      <c r="D281" s="1"/>
      <c r="E281" s="1"/>
      <c r="F281" s="1"/>
      <c r="J281" s="1"/>
      <c r="K281" s="1"/>
    </row>
    <row r="282" ht="15.75" customHeight="1">
      <c r="C282" s="1"/>
      <c r="D282" s="1"/>
      <c r="E282" s="1"/>
      <c r="F282" s="1"/>
      <c r="J282" s="1"/>
      <c r="K282" s="1"/>
    </row>
    <row r="283" ht="15.75" customHeight="1">
      <c r="C283" s="1"/>
      <c r="D283" s="1"/>
      <c r="E283" s="1"/>
      <c r="F283" s="1"/>
      <c r="J283" s="1"/>
      <c r="K283" s="1"/>
    </row>
    <row r="284" ht="15.75" customHeight="1">
      <c r="C284" s="1"/>
      <c r="D284" s="1"/>
      <c r="E284" s="1"/>
      <c r="F284" s="1"/>
      <c r="J284" s="1"/>
      <c r="K284" s="1"/>
    </row>
    <row r="285" ht="15.75" customHeight="1">
      <c r="C285" s="1"/>
      <c r="D285" s="1"/>
      <c r="E285" s="1"/>
      <c r="F285" s="1"/>
      <c r="J285" s="1"/>
      <c r="K285" s="1"/>
    </row>
    <row r="286" ht="15.75" customHeight="1">
      <c r="C286" s="1"/>
      <c r="D286" s="1"/>
      <c r="E286" s="1"/>
      <c r="F286" s="1"/>
      <c r="J286" s="1"/>
      <c r="K286" s="1"/>
    </row>
    <row r="287" ht="15.75" customHeight="1">
      <c r="C287" s="1"/>
      <c r="D287" s="1"/>
      <c r="E287" s="1"/>
      <c r="F287" s="1"/>
      <c r="J287" s="1"/>
      <c r="K287" s="1"/>
    </row>
    <row r="288" ht="15.75" customHeight="1">
      <c r="C288" s="1"/>
      <c r="D288" s="1"/>
      <c r="E288" s="1"/>
      <c r="F288" s="1"/>
      <c r="J288" s="1"/>
      <c r="K288" s="1"/>
    </row>
    <row r="289" ht="15.75" customHeight="1">
      <c r="C289" s="1"/>
      <c r="D289" s="1"/>
      <c r="E289" s="1"/>
      <c r="F289" s="1"/>
      <c r="J289" s="1"/>
      <c r="K289" s="1"/>
    </row>
    <row r="290" ht="15.75" customHeight="1">
      <c r="C290" s="1"/>
      <c r="D290" s="1"/>
      <c r="E290" s="1"/>
      <c r="F290" s="1"/>
      <c r="J290" s="1"/>
      <c r="K290" s="1"/>
    </row>
    <row r="291" ht="15.75" customHeight="1">
      <c r="C291" s="1"/>
      <c r="D291" s="1"/>
      <c r="E291" s="1"/>
      <c r="F291" s="1"/>
      <c r="J291" s="1"/>
      <c r="K291" s="1"/>
    </row>
    <row r="292" ht="15.75" customHeight="1">
      <c r="C292" s="1"/>
      <c r="D292" s="1"/>
      <c r="E292" s="1"/>
      <c r="F292" s="1"/>
      <c r="J292" s="1"/>
      <c r="K292" s="1"/>
    </row>
    <row r="293" ht="15.75" customHeight="1">
      <c r="C293" s="1"/>
      <c r="D293" s="1"/>
      <c r="E293" s="1"/>
      <c r="F293" s="1"/>
      <c r="J293" s="1"/>
      <c r="K293" s="1"/>
    </row>
    <row r="294" ht="15.75" customHeight="1">
      <c r="C294" s="1"/>
      <c r="D294" s="1"/>
      <c r="E294" s="1"/>
      <c r="F294" s="1"/>
      <c r="J294" s="1"/>
      <c r="K294" s="1"/>
    </row>
    <row r="295" ht="15.75" customHeight="1">
      <c r="C295" s="1"/>
      <c r="D295" s="1"/>
      <c r="E295" s="1"/>
      <c r="F295" s="1"/>
      <c r="J295" s="1"/>
      <c r="K295" s="1"/>
    </row>
    <row r="296" ht="15.75" customHeight="1">
      <c r="C296" s="1"/>
      <c r="D296" s="1"/>
      <c r="E296" s="1"/>
      <c r="F296" s="1"/>
      <c r="J296" s="1"/>
      <c r="K296" s="1"/>
    </row>
    <row r="297" ht="15.75" customHeight="1">
      <c r="C297" s="1"/>
      <c r="D297" s="1"/>
      <c r="E297" s="1"/>
      <c r="F297" s="1"/>
      <c r="J297" s="1"/>
      <c r="K297" s="1"/>
    </row>
    <row r="298" ht="15.75" customHeight="1">
      <c r="C298" s="1"/>
      <c r="D298" s="1"/>
      <c r="E298" s="1"/>
      <c r="F298" s="1"/>
      <c r="J298" s="1"/>
      <c r="K298" s="1"/>
    </row>
    <row r="299" ht="15.75" customHeight="1">
      <c r="C299" s="1"/>
      <c r="D299" s="1"/>
      <c r="E299" s="1"/>
      <c r="F299" s="1"/>
      <c r="J299" s="1"/>
      <c r="K299" s="1"/>
    </row>
    <row r="300" ht="15.75" customHeight="1">
      <c r="C300" s="1"/>
      <c r="D300" s="1"/>
      <c r="E300" s="1"/>
      <c r="F300" s="1"/>
      <c r="J300" s="1"/>
      <c r="K300" s="1"/>
    </row>
    <row r="301" ht="15.75" customHeight="1">
      <c r="C301" s="1"/>
      <c r="D301" s="1"/>
      <c r="E301" s="1"/>
      <c r="F301" s="1"/>
      <c r="J301" s="1"/>
      <c r="K301" s="1"/>
    </row>
    <row r="302" ht="15.75" customHeight="1">
      <c r="C302" s="1"/>
      <c r="D302" s="1"/>
      <c r="E302" s="1"/>
      <c r="F302" s="1"/>
      <c r="J302" s="1"/>
      <c r="K302" s="1"/>
    </row>
    <row r="303" ht="15.75" customHeight="1">
      <c r="C303" s="1"/>
      <c r="D303" s="1"/>
      <c r="E303" s="1"/>
      <c r="F303" s="1"/>
      <c r="J303" s="1"/>
      <c r="K303" s="1"/>
    </row>
    <row r="304" ht="15.75" customHeight="1">
      <c r="C304" s="1"/>
      <c r="D304" s="1"/>
      <c r="E304" s="1"/>
      <c r="F304" s="1"/>
      <c r="J304" s="1"/>
      <c r="K304" s="1"/>
    </row>
    <row r="305" ht="15.75" customHeight="1">
      <c r="C305" s="1"/>
      <c r="D305" s="1"/>
      <c r="E305" s="1"/>
      <c r="F305" s="1"/>
      <c r="J305" s="1"/>
      <c r="K305" s="1"/>
    </row>
    <row r="306" ht="15.75" customHeight="1">
      <c r="C306" s="1"/>
      <c r="D306" s="1"/>
      <c r="E306" s="1"/>
      <c r="F306" s="1"/>
      <c r="J306" s="1"/>
      <c r="K306" s="1"/>
    </row>
    <row r="307" ht="15.75" customHeight="1">
      <c r="C307" s="1"/>
      <c r="D307" s="1"/>
      <c r="E307" s="1"/>
      <c r="F307" s="1"/>
      <c r="J307" s="1"/>
      <c r="K307" s="1"/>
    </row>
    <row r="308" ht="15.75" customHeight="1">
      <c r="C308" s="1"/>
      <c r="D308" s="1"/>
      <c r="E308" s="1"/>
      <c r="F308" s="1"/>
      <c r="J308" s="1"/>
      <c r="K308" s="1"/>
    </row>
    <row r="309" ht="15.75" customHeight="1">
      <c r="C309" s="1"/>
      <c r="D309" s="1"/>
      <c r="E309" s="1"/>
      <c r="F309" s="1"/>
      <c r="J309" s="1"/>
      <c r="K309" s="1"/>
    </row>
    <row r="310" ht="15.75" customHeight="1">
      <c r="C310" s="1"/>
      <c r="D310" s="1"/>
      <c r="E310" s="1"/>
      <c r="F310" s="1"/>
      <c r="J310" s="1"/>
      <c r="K310" s="1"/>
    </row>
    <row r="311" ht="15.75" customHeight="1">
      <c r="C311" s="1"/>
      <c r="D311" s="1"/>
      <c r="E311" s="1"/>
      <c r="F311" s="1"/>
      <c r="J311" s="1"/>
      <c r="K311" s="1"/>
    </row>
    <row r="312" ht="15.75" customHeight="1">
      <c r="C312" s="1"/>
      <c r="D312" s="1"/>
      <c r="E312" s="1"/>
      <c r="F312" s="1"/>
      <c r="J312" s="1"/>
      <c r="K312" s="1"/>
    </row>
    <row r="313" ht="15.75" customHeight="1">
      <c r="C313" s="1"/>
      <c r="D313" s="1"/>
      <c r="E313" s="1"/>
      <c r="F313" s="1"/>
      <c r="J313" s="1"/>
      <c r="K313" s="1"/>
    </row>
    <row r="314" ht="15.75" customHeight="1">
      <c r="C314" s="1"/>
      <c r="D314" s="1"/>
      <c r="E314" s="1"/>
      <c r="F314" s="1"/>
      <c r="J314" s="1"/>
      <c r="K314" s="1"/>
    </row>
    <row r="315" ht="15.75" customHeight="1">
      <c r="C315" s="1"/>
      <c r="D315" s="1"/>
      <c r="E315" s="1"/>
      <c r="F315" s="1"/>
      <c r="J315" s="1"/>
      <c r="K315" s="1"/>
    </row>
    <row r="316" ht="15.75" customHeight="1">
      <c r="C316" s="1"/>
      <c r="D316" s="1"/>
      <c r="E316" s="1"/>
      <c r="F316" s="1"/>
      <c r="J316" s="1"/>
      <c r="K316" s="1"/>
    </row>
    <row r="317" ht="15.75" customHeight="1">
      <c r="C317" s="1"/>
      <c r="D317" s="1"/>
      <c r="E317" s="1"/>
      <c r="F317" s="1"/>
      <c r="J317" s="1"/>
      <c r="K317" s="1"/>
    </row>
    <row r="318" ht="15.75" customHeight="1">
      <c r="C318" s="1"/>
      <c r="D318" s="1"/>
      <c r="E318" s="1"/>
      <c r="F318" s="1"/>
      <c r="J318" s="1"/>
      <c r="K318" s="1"/>
    </row>
    <row r="319" ht="15.75" customHeight="1">
      <c r="C319" s="1"/>
      <c r="D319" s="1"/>
      <c r="E319" s="1"/>
      <c r="F319" s="1"/>
      <c r="J319" s="1"/>
      <c r="K319" s="1"/>
    </row>
    <row r="320" ht="15.75" customHeight="1">
      <c r="C320" s="1"/>
      <c r="D320" s="1"/>
      <c r="E320" s="1"/>
      <c r="F320" s="1"/>
      <c r="J320" s="1"/>
      <c r="K320" s="1"/>
    </row>
    <row r="321" ht="15.75" customHeight="1">
      <c r="C321" s="1"/>
      <c r="D321" s="1"/>
      <c r="E321" s="1"/>
      <c r="F321" s="1"/>
      <c r="J321" s="1"/>
      <c r="K321" s="1"/>
    </row>
    <row r="322" ht="15.75" customHeight="1">
      <c r="C322" s="1"/>
      <c r="D322" s="1"/>
      <c r="E322" s="1"/>
      <c r="F322" s="1"/>
      <c r="J322" s="1"/>
      <c r="K322" s="1"/>
    </row>
    <row r="323" ht="15.75" customHeight="1">
      <c r="C323" s="1"/>
      <c r="D323" s="1"/>
      <c r="E323" s="1"/>
      <c r="F323" s="1"/>
      <c r="J323" s="1"/>
      <c r="K323" s="1"/>
    </row>
    <row r="324" ht="15.75" customHeight="1">
      <c r="C324" s="1"/>
      <c r="D324" s="1"/>
      <c r="E324" s="1"/>
      <c r="F324" s="1"/>
      <c r="J324" s="1"/>
      <c r="K324" s="1"/>
    </row>
    <row r="325" ht="15.75" customHeight="1">
      <c r="C325" s="1"/>
      <c r="D325" s="1"/>
      <c r="E325" s="1"/>
      <c r="F325" s="1"/>
      <c r="J325" s="1"/>
      <c r="K325" s="1"/>
    </row>
    <row r="326" ht="15.75" customHeight="1">
      <c r="C326" s="1"/>
      <c r="D326" s="1"/>
      <c r="E326" s="1"/>
      <c r="F326" s="1"/>
      <c r="J326" s="1"/>
      <c r="K326" s="1"/>
    </row>
    <row r="327" ht="15.75" customHeight="1">
      <c r="C327" s="1"/>
      <c r="D327" s="1"/>
      <c r="E327" s="1"/>
      <c r="F327" s="1"/>
      <c r="J327" s="1"/>
      <c r="K327" s="1"/>
    </row>
    <row r="328" ht="15.75" customHeight="1">
      <c r="C328" s="1"/>
      <c r="D328" s="1"/>
      <c r="E328" s="1"/>
      <c r="F328" s="1"/>
      <c r="J328" s="1"/>
      <c r="K328" s="1"/>
    </row>
    <row r="329" ht="15.75" customHeight="1">
      <c r="C329" s="1"/>
      <c r="D329" s="1"/>
      <c r="E329" s="1"/>
      <c r="F329" s="1"/>
      <c r="J329" s="1"/>
      <c r="K329" s="1"/>
    </row>
    <row r="330" ht="15.75" customHeight="1">
      <c r="C330" s="1"/>
      <c r="D330" s="1"/>
      <c r="E330" s="1"/>
      <c r="F330" s="1"/>
      <c r="J330" s="1"/>
      <c r="K330" s="1"/>
    </row>
    <row r="331" ht="15.75" customHeight="1">
      <c r="C331" s="1"/>
      <c r="D331" s="1"/>
      <c r="E331" s="1"/>
      <c r="F331" s="1"/>
      <c r="J331" s="1"/>
      <c r="K331" s="1"/>
    </row>
    <row r="332" ht="15.75" customHeight="1">
      <c r="C332" s="1"/>
      <c r="D332" s="1"/>
      <c r="E332" s="1"/>
      <c r="F332" s="1"/>
      <c r="J332" s="1"/>
      <c r="K332" s="1"/>
    </row>
    <row r="333" ht="15.75" customHeight="1">
      <c r="C333" s="1"/>
      <c r="D333" s="1"/>
      <c r="E333" s="1"/>
      <c r="F333" s="1"/>
      <c r="J333" s="1"/>
      <c r="K333" s="1"/>
    </row>
    <row r="334" ht="15.75" customHeight="1">
      <c r="C334" s="1"/>
      <c r="D334" s="1"/>
      <c r="E334" s="1"/>
      <c r="F334" s="1"/>
      <c r="J334" s="1"/>
      <c r="K334" s="1"/>
    </row>
    <row r="335" ht="15.75" customHeight="1">
      <c r="C335" s="1"/>
      <c r="D335" s="1"/>
      <c r="E335" s="1"/>
      <c r="F335" s="1"/>
      <c r="J335" s="1"/>
      <c r="K335" s="1"/>
    </row>
    <row r="336" ht="15.75" customHeight="1">
      <c r="C336" s="1"/>
      <c r="D336" s="1"/>
      <c r="E336" s="1"/>
      <c r="F336" s="1"/>
      <c r="J336" s="1"/>
      <c r="K336" s="1"/>
    </row>
    <row r="337" ht="15.75" customHeight="1">
      <c r="C337" s="1"/>
      <c r="D337" s="1"/>
      <c r="E337" s="1"/>
      <c r="F337" s="1"/>
      <c r="J337" s="1"/>
      <c r="K337" s="1"/>
    </row>
    <row r="338" ht="15.75" customHeight="1">
      <c r="C338" s="1"/>
      <c r="D338" s="1"/>
      <c r="E338" s="1"/>
      <c r="F338" s="1"/>
      <c r="J338" s="1"/>
      <c r="K338" s="1"/>
    </row>
    <row r="339" ht="15.75" customHeight="1">
      <c r="C339" s="1"/>
      <c r="D339" s="1"/>
      <c r="E339" s="1"/>
      <c r="F339" s="1"/>
      <c r="J339" s="1"/>
      <c r="K339" s="1"/>
    </row>
    <row r="340" ht="15.75" customHeight="1">
      <c r="C340" s="1"/>
      <c r="D340" s="1"/>
      <c r="E340" s="1"/>
      <c r="F340" s="1"/>
      <c r="J340" s="1"/>
      <c r="K340" s="1"/>
    </row>
    <row r="341" ht="15.75" customHeight="1">
      <c r="C341" s="1"/>
      <c r="D341" s="1"/>
      <c r="E341" s="1"/>
      <c r="F341" s="1"/>
      <c r="J341" s="1"/>
      <c r="K341" s="1"/>
    </row>
    <row r="342" ht="15.75" customHeight="1">
      <c r="C342" s="1"/>
      <c r="D342" s="1"/>
      <c r="E342" s="1"/>
      <c r="F342" s="1"/>
      <c r="J342" s="1"/>
      <c r="K342" s="1"/>
    </row>
    <row r="343" ht="15.75" customHeight="1">
      <c r="C343" s="1"/>
      <c r="D343" s="1"/>
      <c r="E343" s="1"/>
      <c r="F343" s="1"/>
      <c r="J343" s="1"/>
      <c r="K343" s="1"/>
    </row>
    <row r="344" ht="15.75" customHeight="1">
      <c r="C344" s="1"/>
      <c r="D344" s="1"/>
      <c r="E344" s="1"/>
      <c r="F344" s="1"/>
      <c r="J344" s="1"/>
      <c r="K344" s="1"/>
    </row>
    <row r="345" ht="15.75" customHeight="1">
      <c r="C345" s="1"/>
      <c r="D345" s="1"/>
      <c r="E345" s="1"/>
      <c r="F345" s="1"/>
      <c r="J345" s="1"/>
      <c r="K345" s="1"/>
    </row>
    <row r="346" ht="15.75" customHeight="1">
      <c r="C346" s="1"/>
      <c r="D346" s="1"/>
      <c r="E346" s="1"/>
      <c r="F346" s="1"/>
      <c r="J346" s="1"/>
      <c r="K346" s="1"/>
    </row>
    <row r="347" ht="15.75" customHeight="1">
      <c r="C347" s="1"/>
      <c r="D347" s="1"/>
      <c r="E347" s="1"/>
      <c r="F347" s="1"/>
      <c r="J347" s="1"/>
      <c r="K347" s="1"/>
    </row>
    <row r="348" ht="15.75" customHeight="1">
      <c r="C348" s="1"/>
      <c r="D348" s="1"/>
      <c r="E348" s="1"/>
      <c r="F348" s="1"/>
      <c r="J348" s="1"/>
      <c r="K348" s="1"/>
    </row>
    <row r="349" ht="15.75" customHeight="1">
      <c r="C349" s="1"/>
      <c r="D349" s="1"/>
      <c r="E349" s="1"/>
      <c r="F349" s="1"/>
      <c r="J349" s="1"/>
      <c r="K349" s="1"/>
    </row>
    <row r="350" ht="15.75" customHeight="1">
      <c r="C350" s="1"/>
      <c r="D350" s="1"/>
      <c r="E350" s="1"/>
      <c r="F350" s="1"/>
      <c r="J350" s="1"/>
      <c r="K350" s="1"/>
    </row>
    <row r="351" ht="15.75" customHeight="1">
      <c r="C351" s="1"/>
      <c r="D351" s="1"/>
      <c r="E351" s="1"/>
      <c r="F351" s="1"/>
      <c r="J351" s="1"/>
      <c r="K351" s="1"/>
    </row>
    <row r="352" ht="15.75" customHeight="1">
      <c r="C352" s="1"/>
      <c r="D352" s="1"/>
      <c r="E352" s="1"/>
      <c r="F352" s="1"/>
      <c r="J352" s="1"/>
      <c r="K352" s="1"/>
    </row>
    <row r="353" ht="15.75" customHeight="1">
      <c r="C353" s="1"/>
      <c r="D353" s="1"/>
      <c r="E353" s="1"/>
      <c r="F353" s="1"/>
      <c r="J353" s="1"/>
      <c r="K353" s="1"/>
    </row>
    <row r="354" ht="15.75" customHeight="1">
      <c r="C354" s="1"/>
      <c r="D354" s="1"/>
      <c r="E354" s="1"/>
      <c r="F354" s="1"/>
      <c r="J354" s="1"/>
      <c r="K354" s="1"/>
    </row>
    <row r="355" ht="15.75" customHeight="1">
      <c r="C355" s="1"/>
      <c r="D355" s="1"/>
      <c r="E355" s="1"/>
      <c r="F355" s="1"/>
      <c r="J355" s="1"/>
      <c r="K355" s="1"/>
    </row>
    <row r="356" ht="15.75" customHeight="1">
      <c r="C356" s="1"/>
      <c r="D356" s="1"/>
      <c r="E356" s="1"/>
      <c r="F356" s="1"/>
      <c r="J356" s="1"/>
      <c r="K356" s="1"/>
    </row>
    <row r="357" ht="15.75" customHeight="1">
      <c r="C357" s="1"/>
      <c r="D357" s="1"/>
      <c r="E357" s="1"/>
      <c r="F357" s="1"/>
      <c r="J357" s="1"/>
      <c r="K357" s="1"/>
    </row>
    <row r="358" ht="15.75" customHeight="1">
      <c r="C358" s="1"/>
      <c r="D358" s="1"/>
      <c r="E358" s="1"/>
      <c r="F358" s="1"/>
      <c r="J358" s="1"/>
      <c r="K358" s="1"/>
    </row>
    <row r="359" ht="15.75" customHeight="1">
      <c r="C359" s="1"/>
      <c r="D359" s="1"/>
      <c r="E359" s="1"/>
      <c r="F359" s="1"/>
      <c r="J359" s="1"/>
      <c r="K359" s="1"/>
    </row>
    <row r="360" ht="15.75" customHeight="1">
      <c r="C360" s="1"/>
      <c r="D360" s="1"/>
      <c r="E360" s="1"/>
      <c r="F360" s="1"/>
      <c r="J360" s="1"/>
      <c r="K360" s="1"/>
    </row>
    <row r="361" ht="15.75" customHeight="1">
      <c r="C361" s="1"/>
      <c r="D361" s="1"/>
      <c r="E361" s="1"/>
      <c r="F361" s="1"/>
      <c r="J361" s="1"/>
      <c r="K361" s="1"/>
    </row>
    <row r="362" ht="15.75" customHeight="1">
      <c r="C362" s="1"/>
      <c r="D362" s="1"/>
      <c r="E362" s="1"/>
      <c r="F362" s="1"/>
      <c r="J362" s="1"/>
      <c r="K362" s="1"/>
    </row>
    <row r="363" ht="15.75" customHeight="1">
      <c r="C363" s="1"/>
      <c r="D363" s="1"/>
      <c r="E363" s="1"/>
      <c r="F363" s="1"/>
      <c r="J363" s="1"/>
      <c r="K363" s="1"/>
    </row>
    <row r="364" ht="15.75" customHeight="1">
      <c r="C364" s="1"/>
      <c r="D364" s="1"/>
      <c r="E364" s="1"/>
      <c r="F364" s="1"/>
      <c r="J364" s="1"/>
      <c r="K364" s="1"/>
    </row>
    <row r="365" ht="15.75" customHeight="1">
      <c r="C365" s="1"/>
      <c r="D365" s="1"/>
      <c r="E365" s="1"/>
      <c r="F365" s="1"/>
      <c r="J365" s="1"/>
      <c r="K365" s="1"/>
    </row>
    <row r="366" ht="15.75" customHeight="1">
      <c r="C366" s="1"/>
      <c r="D366" s="1"/>
      <c r="E366" s="1"/>
      <c r="F366" s="1"/>
      <c r="J366" s="1"/>
      <c r="K366" s="1"/>
    </row>
    <row r="367" ht="15.75" customHeight="1">
      <c r="C367" s="1"/>
      <c r="D367" s="1"/>
      <c r="E367" s="1"/>
      <c r="F367" s="1"/>
      <c r="J367" s="1"/>
      <c r="K367" s="1"/>
    </row>
    <row r="368" ht="15.75" customHeight="1">
      <c r="C368" s="1"/>
      <c r="D368" s="1"/>
      <c r="E368" s="1"/>
      <c r="F368" s="1"/>
      <c r="J368" s="1"/>
      <c r="K368" s="1"/>
    </row>
    <row r="369" ht="15.75" customHeight="1">
      <c r="C369" s="1"/>
      <c r="D369" s="1"/>
      <c r="E369" s="1"/>
      <c r="F369" s="1"/>
      <c r="J369" s="1"/>
      <c r="K369" s="1"/>
    </row>
    <row r="370" ht="15.75" customHeight="1">
      <c r="C370" s="1"/>
      <c r="D370" s="1"/>
      <c r="E370" s="1"/>
      <c r="F370" s="1"/>
      <c r="J370" s="1"/>
      <c r="K370" s="1"/>
    </row>
    <row r="371" ht="15.75" customHeight="1">
      <c r="C371" s="1"/>
      <c r="D371" s="1"/>
      <c r="E371" s="1"/>
      <c r="F371" s="1"/>
      <c r="J371" s="1"/>
      <c r="K371" s="1"/>
    </row>
    <row r="372" ht="15.75" customHeight="1">
      <c r="C372" s="1"/>
      <c r="D372" s="1"/>
      <c r="E372" s="1"/>
      <c r="F372" s="1"/>
      <c r="J372" s="1"/>
      <c r="K372" s="1"/>
    </row>
    <row r="373" ht="15.75" customHeight="1">
      <c r="C373" s="1"/>
      <c r="D373" s="1"/>
      <c r="E373" s="1"/>
      <c r="F373" s="1"/>
      <c r="J373" s="1"/>
      <c r="K373" s="1"/>
    </row>
    <row r="374" ht="15.75" customHeight="1">
      <c r="C374" s="1"/>
      <c r="D374" s="1"/>
      <c r="E374" s="1"/>
      <c r="F374" s="1"/>
      <c r="J374" s="1"/>
      <c r="K374" s="1"/>
    </row>
    <row r="375" ht="15.75" customHeight="1">
      <c r="C375" s="1"/>
      <c r="D375" s="1"/>
      <c r="E375" s="1"/>
      <c r="F375" s="1"/>
      <c r="J375" s="1"/>
      <c r="K375" s="1"/>
    </row>
    <row r="376" ht="15.75" customHeight="1">
      <c r="C376" s="1"/>
      <c r="D376" s="1"/>
      <c r="E376" s="1"/>
      <c r="F376" s="1"/>
      <c r="J376" s="1"/>
      <c r="K376" s="1"/>
    </row>
    <row r="377" ht="15.75" customHeight="1">
      <c r="C377" s="1"/>
      <c r="D377" s="1"/>
      <c r="E377" s="1"/>
      <c r="F377" s="1"/>
      <c r="J377" s="1"/>
      <c r="K377" s="1"/>
    </row>
    <row r="378" ht="15.75" customHeight="1">
      <c r="C378" s="1"/>
      <c r="D378" s="1"/>
      <c r="E378" s="1"/>
      <c r="F378" s="1"/>
      <c r="J378" s="1"/>
      <c r="K378" s="1"/>
    </row>
    <row r="379" ht="15.75" customHeight="1">
      <c r="C379" s="1"/>
      <c r="D379" s="1"/>
      <c r="E379" s="1"/>
      <c r="F379" s="1"/>
      <c r="J379" s="1"/>
      <c r="K379" s="1"/>
    </row>
    <row r="380" ht="15.75" customHeight="1">
      <c r="C380" s="1"/>
      <c r="D380" s="1"/>
      <c r="E380" s="1"/>
      <c r="F380" s="1"/>
      <c r="J380" s="1"/>
      <c r="K380" s="1"/>
    </row>
    <row r="381" ht="15.75" customHeight="1">
      <c r="C381" s="1"/>
      <c r="D381" s="1"/>
      <c r="E381" s="1"/>
      <c r="F381" s="1"/>
      <c r="J381" s="1"/>
      <c r="K381" s="1"/>
    </row>
    <row r="382" ht="15.75" customHeight="1">
      <c r="C382" s="1"/>
      <c r="D382" s="1"/>
      <c r="E382" s="1"/>
      <c r="F382" s="1"/>
      <c r="J382" s="1"/>
      <c r="K382" s="1"/>
    </row>
    <row r="383" ht="15.75" customHeight="1">
      <c r="C383" s="1"/>
      <c r="D383" s="1"/>
      <c r="E383" s="1"/>
      <c r="F383" s="1"/>
      <c r="J383" s="1"/>
      <c r="K383" s="1"/>
    </row>
    <row r="384" ht="15.75" customHeight="1">
      <c r="C384" s="1"/>
      <c r="D384" s="1"/>
      <c r="E384" s="1"/>
      <c r="F384" s="1"/>
      <c r="J384" s="1"/>
      <c r="K384" s="1"/>
    </row>
    <row r="385" ht="15.75" customHeight="1">
      <c r="C385" s="1"/>
      <c r="D385" s="1"/>
      <c r="E385" s="1"/>
      <c r="F385" s="1"/>
      <c r="J385" s="1"/>
      <c r="K385" s="1"/>
    </row>
    <row r="386" ht="15.75" customHeight="1">
      <c r="C386" s="1"/>
      <c r="D386" s="1"/>
      <c r="E386" s="1"/>
      <c r="F386" s="1"/>
      <c r="J386" s="1"/>
      <c r="K386" s="1"/>
    </row>
    <row r="387" ht="15.75" customHeight="1">
      <c r="C387" s="1"/>
      <c r="D387" s="1"/>
      <c r="E387" s="1"/>
      <c r="F387" s="1"/>
      <c r="J387" s="1"/>
      <c r="K387" s="1"/>
    </row>
    <row r="388" ht="15.75" customHeight="1">
      <c r="C388" s="1"/>
      <c r="D388" s="1"/>
      <c r="E388" s="1"/>
      <c r="F388" s="1"/>
      <c r="J388" s="1"/>
      <c r="K388" s="1"/>
    </row>
    <row r="389" ht="15.75" customHeight="1">
      <c r="C389" s="1"/>
      <c r="D389" s="1"/>
      <c r="E389" s="1"/>
      <c r="F389" s="1"/>
      <c r="J389" s="1"/>
      <c r="K389" s="1"/>
    </row>
    <row r="390" ht="15.75" customHeight="1">
      <c r="C390" s="1"/>
      <c r="D390" s="1"/>
      <c r="E390" s="1"/>
      <c r="F390" s="1"/>
      <c r="J390" s="1"/>
      <c r="K390" s="1"/>
    </row>
    <row r="391" ht="15.75" customHeight="1">
      <c r="C391" s="1"/>
      <c r="D391" s="1"/>
      <c r="E391" s="1"/>
      <c r="F391" s="1"/>
      <c r="J391" s="1"/>
      <c r="K391" s="1"/>
    </row>
    <row r="392" ht="15.75" customHeight="1">
      <c r="C392" s="1"/>
      <c r="D392" s="1"/>
      <c r="E392" s="1"/>
      <c r="F392" s="1"/>
      <c r="J392" s="1"/>
      <c r="K392" s="1"/>
    </row>
    <row r="393" ht="15.75" customHeight="1">
      <c r="C393" s="1"/>
      <c r="D393" s="1"/>
      <c r="E393" s="1"/>
      <c r="F393" s="1"/>
      <c r="J393" s="1"/>
      <c r="K393" s="1"/>
    </row>
    <row r="394" ht="15.75" customHeight="1">
      <c r="C394" s="1"/>
      <c r="D394" s="1"/>
      <c r="E394" s="1"/>
      <c r="F394" s="1"/>
      <c r="J394" s="1"/>
      <c r="K394" s="1"/>
    </row>
    <row r="395" ht="15.75" customHeight="1">
      <c r="C395" s="1"/>
      <c r="D395" s="1"/>
      <c r="E395" s="1"/>
      <c r="F395" s="1"/>
      <c r="J395" s="1"/>
      <c r="K395" s="1"/>
    </row>
    <row r="396" ht="15.75" customHeight="1">
      <c r="C396" s="1"/>
      <c r="D396" s="1"/>
      <c r="E396" s="1"/>
      <c r="F396" s="1"/>
      <c r="J396" s="1"/>
      <c r="K396" s="1"/>
    </row>
    <row r="397" ht="15.75" customHeight="1">
      <c r="C397" s="1"/>
      <c r="D397" s="1"/>
      <c r="E397" s="1"/>
      <c r="F397" s="1"/>
      <c r="J397" s="1"/>
      <c r="K397" s="1"/>
    </row>
    <row r="398" ht="15.75" customHeight="1">
      <c r="C398" s="1"/>
      <c r="D398" s="1"/>
      <c r="E398" s="1"/>
      <c r="F398" s="1"/>
      <c r="J398" s="1"/>
      <c r="K398" s="1"/>
    </row>
    <row r="399" ht="15.75" customHeight="1">
      <c r="C399" s="1"/>
      <c r="D399" s="1"/>
      <c r="E399" s="1"/>
      <c r="F399" s="1"/>
      <c r="J399" s="1"/>
      <c r="K399" s="1"/>
    </row>
    <row r="400" ht="15.75" customHeight="1">
      <c r="C400" s="1"/>
      <c r="D400" s="1"/>
      <c r="E400" s="1"/>
      <c r="F400" s="1"/>
      <c r="J400" s="1"/>
      <c r="K400" s="1"/>
    </row>
    <row r="401" ht="15.75" customHeight="1">
      <c r="C401" s="1"/>
      <c r="D401" s="1"/>
      <c r="E401" s="1"/>
      <c r="F401" s="1"/>
      <c r="J401" s="1"/>
      <c r="K401" s="1"/>
    </row>
    <row r="402" ht="15.75" customHeight="1">
      <c r="C402" s="1"/>
      <c r="D402" s="1"/>
      <c r="E402" s="1"/>
      <c r="F402" s="1"/>
      <c r="J402" s="1"/>
      <c r="K402" s="1"/>
    </row>
    <row r="403" ht="15.75" customHeight="1">
      <c r="C403" s="1"/>
      <c r="D403" s="1"/>
      <c r="E403" s="1"/>
      <c r="F403" s="1"/>
      <c r="J403" s="1"/>
      <c r="K403" s="1"/>
    </row>
    <row r="404" ht="15.75" customHeight="1">
      <c r="C404" s="1"/>
      <c r="D404" s="1"/>
      <c r="E404" s="1"/>
      <c r="F404" s="1"/>
      <c r="J404" s="1"/>
      <c r="K404" s="1"/>
    </row>
    <row r="405" ht="15.75" customHeight="1">
      <c r="C405" s="1"/>
      <c r="D405" s="1"/>
      <c r="E405" s="1"/>
      <c r="F405" s="1"/>
      <c r="J405" s="1"/>
      <c r="K405" s="1"/>
    </row>
    <row r="406" ht="15.75" customHeight="1">
      <c r="C406" s="1"/>
      <c r="D406" s="1"/>
      <c r="E406" s="1"/>
      <c r="F406" s="1"/>
      <c r="J406" s="1"/>
      <c r="K406" s="1"/>
    </row>
    <row r="407" ht="15.75" customHeight="1">
      <c r="C407" s="1"/>
      <c r="D407" s="1"/>
      <c r="E407" s="1"/>
      <c r="F407" s="1"/>
      <c r="J407" s="1"/>
      <c r="K407" s="1"/>
    </row>
    <row r="408" ht="15.75" customHeight="1">
      <c r="C408" s="1"/>
      <c r="D408" s="1"/>
      <c r="E408" s="1"/>
      <c r="F408" s="1"/>
      <c r="J408" s="1"/>
      <c r="K408" s="1"/>
    </row>
    <row r="409" ht="15.75" customHeight="1">
      <c r="C409" s="1"/>
      <c r="D409" s="1"/>
      <c r="E409" s="1"/>
      <c r="F409" s="1"/>
      <c r="J409" s="1"/>
      <c r="K409" s="1"/>
    </row>
    <row r="410" ht="15.75" customHeight="1">
      <c r="C410" s="1"/>
      <c r="D410" s="1"/>
      <c r="E410" s="1"/>
      <c r="F410" s="1"/>
      <c r="J410" s="1"/>
      <c r="K410" s="1"/>
    </row>
    <row r="411" ht="15.75" customHeight="1">
      <c r="C411" s="1"/>
      <c r="D411" s="1"/>
      <c r="E411" s="1"/>
      <c r="F411" s="1"/>
      <c r="J411" s="1"/>
      <c r="K411" s="1"/>
    </row>
    <row r="412" ht="15.75" customHeight="1">
      <c r="C412" s="1"/>
      <c r="D412" s="1"/>
      <c r="E412" s="1"/>
      <c r="F412" s="1"/>
      <c r="J412" s="1"/>
      <c r="K412" s="1"/>
    </row>
    <row r="413" ht="15.75" customHeight="1">
      <c r="C413" s="1"/>
      <c r="D413" s="1"/>
      <c r="E413" s="1"/>
      <c r="F413" s="1"/>
      <c r="J413" s="1"/>
      <c r="K413" s="1"/>
    </row>
    <row r="414" ht="15.75" customHeight="1">
      <c r="C414" s="1"/>
      <c r="D414" s="1"/>
      <c r="E414" s="1"/>
      <c r="F414" s="1"/>
      <c r="J414" s="1"/>
      <c r="K414" s="1"/>
    </row>
    <row r="415" ht="15.75" customHeight="1">
      <c r="C415" s="1"/>
      <c r="D415" s="1"/>
      <c r="E415" s="1"/>
      <c r="F415" s="1"/>
      <c r="J415" s="1"/>
      <c r="K415" s="1"/>
    </row>
    <row r="416" ht="15.75" customHeight="1">
      <c r="C416" s="1"/>
      <c r="D416" s="1"/>
      <c r="E416" s="1"/>
      <c r="F416" s="1"/>
      <c r="J416" s="1"/>
      <c r="K416" s="1"/>
    </row>
    <row r="417" ht="15.75" customHeight="1">
      <c r="C417" s="1"/>
      <c r="D417" s="1"/>
      <c r="E417" s="1"/>
      <c r="F417" s="1"/>
      <c r="J417" s="1"/>
      <c r="K417" s="1"/>
    </row>
    <row r="418" ht="15.75" customHeight="1">
      <c r="C418" s="1"/>
      <c r="D418" s="1"/>
      <c r="E418" s="1"/>
      <c r="F418" s="1"/>
      <c r="J418" s="1"/>
      <c r="K418" s="1"/>
    </row>
    <row r="419" ht="15.75" customHeight="1">
      <c r="C419" s="1"/>
      <c r="D419" s="1"/>
      <c r="E419" s="1"/>
      <c r="F419" s="1"/>
      <c r="J419" s="1"/>
      <c r="K419" s="1"/>
    </row>
    <row r="420" ht="15.75" customHeight="1">
      <c r="C420" s="1"/>
      <c r="D420" s="1"/>
      <c r="E420" s="1"/>
      <c r="F420" s="1"/>
      <c r="J420" s="1"/>
      <c r="K420" s="1"/>
    </row>
    <row r="421" ht="15.75" customHeight="1">
      <c r="C421" s="1"/>
      <c r="D421" s="1"/>
      <c r="E421" s="1"/>
      <c r="F421" s="1"/>
      <c r="J421" s="1"/>
      <c r="K421" s="1"/>
    </row>
    <row r="422" ht="15.75" customHeight="1">
      <c r="C422" s="1"/>
      <c r="D422" s="1"/>
      <c r="E422" s="1"/>
      <c r="F422" s="1"/>
      <c r="J422" s="1"/>
      <c r="K422" s="1"/>
    </row>
    <row r="423" ht="15.75" customHeight="1">
      <c r="C423" s="1"/>
      <c r="D423" s="1"/>
      <c r="E423" s="1"/>
      <c r="F423" s="1"/>
      <c r="J423" s="1"/>
      <c r="K423" s="1"/>
    </row>
    <row r="424" ht="15.75" customHeight="1">
      <c r="C424" s="1"/>
      <c r="D424" s="1"/>
      <c r="E424" s="1"/>
      <c r="F424" s="1"/>
      <c r="J424" s="1"/>
      <c r="K424" s="1"/>
    </row>
    <row r="425" ht="15.75" customHeight="1">
      <c r="C425" s="1"/>
      <c r="D425" s="1"/>
      <c r="E425" s="1"/>
      <c r="F425" s="1"/>
      <c r="J425" s="1"/>
      <c r="K425" s="1"/>
    </row>
    <row r="426" ht="15.75" customHeight="1">
      <c r="C426" s="1"/>
      <c r="D426" s="1"/>
      <c r="E426" s="1"/>
      <c r="F426" s="1"/>
      <c r="J426" s="1"/>
      <c r="K426" s="1"/>
    </row>
    <row r="427" ht="15.75" customHeight="1">
      <c r="C427" s="1"/>
      <c r="D427" s="1"/>
      <c r="E427" s="1"/>
      <c r="F427" s="1"/>
      <c r="J427" s="1"/>
      <c r="K427" s="1"/>
    </row>
    <row r="428" ht="15.75" customHeight="1">
      <c r="C428" s="1"/>
      <c r="D428" s="1"/>
      <c r="E428" s="1"/>
      <c r="F428" s="1"/>
      <c r="J428" s="1"/>
      <c r="K428" s="1"/>
    </row>
    <row r="429" ht="15.75" customHeight="1">
      <c r="C429" s="1"/>
      <c r="D429" s="1"/>
      <c r="E429" s="1"/>
      <c r="F429" s="1"/>
      <c r="J429" s="1"/>
      <c r="K429" s="1"/>
    </row>
    <row r="430" ht="15.75" customHeight="1">
      <c r="C430" s="1"/>
      <c r="D430" s="1"/>
      <c r="E430" s="1"/>
      <c r="F430" s="1"/>
      <c r="J430" s="1"/>
      <c r="K430" s="1"/>
    </row>
    <row r="431" ht="15.75" customHeight="1">
      <c r="C431" s="1"/>
      <c r="D431" s="1"/>
      <c r="E431" s="1"/>
      <c r="F431" s="1"/>
      <c r="J431" s="1"/>
      <c r="K431" s="1"/>
    </row>
    <row r="432" ht="15.75" customHeight="1">
      <c r="C432" s="1"/>
      <c r="D432" s="1"/>
      <c r="E432" s="1"/>
      <c r="F432" s="1"/>
      <c r="J432" s="1"/>
      <c r="K432" s="1"/>
    </row>
    <row r="433" ht="15.75" customHeight="1">
      <c r="C433" s="1"/>
      <c r="D433" s="1"/>
      <c r="E433" s="1"/>
      <c r="F433" s="1"/>
      <c r="J433" s="1"/>
      <c r="K433" s="1"/>
    </row>
    <row r="434" ht="15.75" customHeight="1">
      <c r="C434" s="1"/>
      <c r="D434" s="1"/>
      <c r="E434" s="1"/>
      <c r="F434" s="1"/>
      <c r="J434" s="1"/>
      <c r="K434" s="1"/>
    </row>
    <row r="435" ht="15.75" customHeight="1">
      <c r="C435" s="1"/>
      <c r="D435" s="1"/>
      <c r="E435" s="1"/>
      <c r="F435" s="1"/>
      <c r="J435" s="1"/>
      <c r="K435" s="1"/>
    </row>
    <row r="436" ht="15.75" customHeight="1">
      <c r="C436" s="1"/>
      <c r="D436" s="1"/>
      <c r="E436" s="1"/>
      <c r="F436" s="1"/>
      <c r="J436" s="1"/>
      <c r="K436" s="1"/>
    </row>
    <row r="437" ht="15.75" customHeight="1">
      <c r="C437" s="1"/>
      <c r="D437" s="1"/>
      <c r="E437" s="1"/>
      <c r="F437" s="1"/>
      <c r="J437" s="1"/>
      <c r="K437" s="1"/>
    </row>
    <row r="438" ht="15.75" customHeight="1">
      <c r="C438" s="1"/>
      <c r="D438" s="1"/>
      <c r="E438" s="1"/>
      <c r="F438" s="1"/>
      <c r="J438" s="1"/>
      <c r="K438" s="1"/>
    </row>
    <row r="439" ht="15.75" customHeight="1">
      <c r="C439" s="1"/>
      <c r="D439" s="1"/>
      <c r="E439" s="1"/>
      <c r="F439" s="1"/>
      <c r="J439" s="1"/>
      <c r="K439" s="1"/>
    </row>
    <row r="440" ht="15.75" customHeight="1">
      <c r="C440" s="1"/>
      <c r="D440" s="1"/>
      <c r="E440" s="1"/>
      <c r="F440" s="1"/>
      <c r="J440" s="1"/>
      <c r="K440" s="1"/>
    </row>
    <row r="441" ht="15.75" customHeight="1">
      <c r="C441" s="1"/>
      <c r="D441" s="1"/>
      <c r="E441" s="1"/>
      <c r="F441" s="1"/>
      <c r="J441" s="1"/>
      <c r="K441" s="1"/>
    </row>
    <row r="442" ht="15.75" customHeight="1">
      <c r="C442" s="1"/>
      <c r="D442" s="1"/>
      <c r="E442" s="1"/>
      <c r="F442" s="1"/>
      <c r="J442" s="1"/>
      <c r="K442" s="1"/>
    </row>
    <row r="443" ht="15.75" customHeight="1">
      <c r="C443" s="1"/>
      <c r="D443" s="1"/>
      <c r="E443" s="1"/>
      <c r="F443" s="1"/>
      <c r="J443" s="1"/>
      <c r="K443" s="1"/>
    </row>
    <row r="444" ht="15.75" customHeight="1">
      <c r="C444" s="1"/>
      <c r="D444" s="1"/>
      <c r="E444" s="1"/>
      <c r="F444" s="1"/>
      <c r="J444" s="1"/>
      <c r="K444" s="1"/>
    </row>
    <row r="445" ht="15.75" customHeight="1">
      <c r="C445" s="1"/>
      <c r="D445" s="1"/>
      <c r="E445" s="1"/>
      <c r="F445" s="1"/>
      <c r="J445" s="1"/>
      <c r="K445" s="1"/>
    </row>
    <row r="446" ht="15.75" customHeight="1">
      <c r="C446" s="1"/>
      <c r="D446" s="1"/>
      <c r="E446" s="1"/>
      <c r="F446" s="1"/>
      <c r="J446" s="1"/>
      <c r="K446" s="1"/>
    </row>
    <row r="447" ht="15.75" customHeight="1">
      <c r="C447" s="1"/>
      <c r="D447" s="1"/>
      <c r="E447" s="1"/>
      <c r="F447" s="1"/>
      <c r="J447" s="1"/>
      <c r="K447" s="1"/>
    </row>
    <row r="448" ht="15.75" customHeight="1">
      <c r="C448" s="1"/>
      <c r="D448" s="1"/>
      <c r="E448" s="1"/>
      <c r="F448" s="1"/>
      <c r="J448" s="1"/>
      <c r="K448" s="1"/>
    </row>
    <row r="449" ht="15.75" customHeight="1">
      <c r="C449" s="1"/>
      <c r="D449" s="1"/>
      <c r="E449" s="1"/>
      <c r="F449" s="1"/>
      <c r="J449" s="1"/>
      <c r="K449" s="1"/>
    </row>
    <row r="450" ht="15.75" customHeight="1">
      <c r="C450" s="1"/>
      <c r="D450" s="1"/>
      <c r="E450" s="1"/>
      <c r="F450" s="1"/>
      <c r="J450" s="1"/>
      <c r="K450" s="1"/>
    </row>
    <row r="451" ht="15.75" customHeight="1">
      <c r="C451" s="1"/>
      <c r="D451" s="1"/>
      <c r="E451" s="1"/>
      <c r="F451" s="1"/>
      <c r="J451" s="1"/>
      <c r="K451" s="1"/>
    </row>
    <row r="452" ht="15.75" customHeight="1">
      <c r="C452" s="1"/>
      <c r="D452" s="1"/>
      <c r="E452" s="1"/>
      <c r="F452" s="1"/>
      <c r="J452" s="1"/>
      <c r="K452" s="1"/>
    </row>
    <row r="453" ht="15.75" customHeight="1">
      <c r="C453" s="1"/>
      <c r="D453" s="1"/>
      <c r="E453" s="1"/>
      <c r="F453" s="1"/>
      <c r="J453" s="1"/>
      <c r="K453" s="1"/>
    </row>
    <row r="454" ht="15.75" customHeight="1">
      <c r="C454" s="1"/>
      <c r="D454" s="1"/>
      <c r="E454" s="1"/>
      <c r="F454" s="1"/>
      <c r="J454" s="1"/>
      <c r="K454" s="1"/>
    </row>
    <row r="455" ht="15.75" customHeight="1">
      <c r="C455" s="1"/>
      <c r="D455" s="1"/>
      <c r="E455" s="1"/>
      <c r="F455" s="1"/>
      <c r="J455" s="1"/>
      <c r="K455" s="1"/>
    </row>
    <row r="456" ht="15.75" customHeight="1">
      <c r="C456" s="1"/>
      <c r="D456" s="1"/>
      <c r="E456" s="1"/>
      <c r="F456" s="1"/>
      <c r="J456" s="1"/>
      <c r="K456" s="1"/>
    </row>
    <row r="457" ht="15.75" customHeight="1">
      <c r="C457" s="1"/>
      <c r="D457" s="1"/>
      <c r="E457" s="1"/>
      <c r="F457" s="1"/>
      <c r="J457" s="1"/>
      <c r="K457" s="1"/>
    </row>
    <row r="458" ht="15.75" customHeight="1">
      <c r="C458" s="1"/>
      <c r="D458" s="1"/>
      <c r="E458" s="1"/>
      <c r="F458" s="1"/>
      <c r="J458" s="1"/>
      <c r="K458" s="1"/>
    </row>
    <row r="459" ht="15.75" customHeight="1">
      <c r="C459" s="1"/>
      <c r="D459" s="1"/>
      <c r="E459" s="1"/>
      <c r="F459" s="1"/>
      <c r="J459" s="1"/>
      <c r="K459" s="1"/>
    </row>
    <row r="460" ht="15.75" customHeight="1">
      <c r="C460" s="1"/>
      <c r="D460" s="1"/>
      <c r="E460" s="1"/>
      <c r="F460" s="1"/>
      <c r="J460" s="1"/>
      <c r="K460" s="1"/>
    </row>
    <row r="461" ht="15.75" customHeight="1">
      <c r="C461" s="1"/>
      <c r="D461" s="1"/>
      <c r="E461" s="1"/>
      <c r="F461" s="1"/>
      <c r="J461" s="1"/>
      <c r="K461" s="1"/>
    </row>
    <row r="462" ht="15.75" customHeight="1">
      <c r="C462" s="1"/>
      <c r="D462" s="1"/>
      <c r="E462" s="1"/>
      <c r="F462" s="1"/>
      <c r="J462" s="1"/>
      <c r="K462" s="1"/>
    </row>
    <row r="463" ht="15.75" customHeight="1">
      <c r="C463" s="1"/>
      <c r="D463" s="1"/>
      <c r="E463" s="1"/>
      <c r="F463" s="1"/>
      <c r="J463" s="1"/>
      <c r="K463" s="1"/>
    </row>
    <row r="464" ht="15.75" customHeight="1">
      <c r="C464" s="1"/>
      <c r="D464" s="1"/>
      <c r="E464" s="1"/>
      <c r="F464" s="1"/>
      <c r="J464" s="1"/>
      <c r="K464" s="1"/>
    </row>
    <row r="465" ht="15.75" customHeight="1">
      <c r="C465" s="1"/>
      <c r="D465" s="1"/>
      <c r="E465" s="1"/>
      <c r="F465" s="1"/>
      <c r="J465" s="1"/>
      <c r="K465" s="1"/>
    </row>
    <row r="466" ht="15.75" customHeight="1">
      <c r="C466" s="1"/>
      <c r="D466" s="1"/>
      <c r="E466" s="1"/>
      <c r="F466" s="1"/>
      <c r="J466" s="1"/>
      <c r="K466" s="1"/>
    </row>
    <row r="467" ht="15.75" customHeight="1">
      <c r="C467" s="1"/>
      <c r="D467" s="1"/>
      <c r="E467" s="1"/>
      <c r="F467" s="1"/>
      <c r="J467" s="1"/>
      <c r="K467" s="1"/>
    </row>
    <row r="468" ht="15.75" customHeight="1">
      <c r="C468" s="1"/>
      <c r="D468" s="1"/>
      <c r="E468" s="1"/>
      <c r="F468" s="1"/>
      <c r="J468" s="1"/>
      <c r="K468" s="1"/>
    </row>
    <row r="469" ht="15.75" customHeight="1">
      <c r="C469" s="1"/>
      <c r="D469" s="1"/>
      <c r="E469" s="1"/>
      <c r="F469" s="1"/>
      <c r="J469" s="1"/>
      <c r="K469" s="1"/>
    </row>
    <row r="470" ht="15.75" customHeight="1">
      <c r="C470" s="1"/>
      <c r="D470" s="1"/>
      <c r="E470" s="1"/>
      <c r="F470" s="1"/>
      <c r="J470" s="1"/>
      <c r="K470" s="1"/>
    </row>
    <row r="471" ht="15.75" customHeight="1">
      <c r="C471" s="1"/>
      <c r="D471" s="1"/>
      <c r="E471" s="1"/>
      <c r="F471" s="1"/>
      <c r="J471" s="1"/>
      <c r="K471" s="1"/>
    </row>
    <row r="472" ht="15.75" customHeight="1">
      <c r="C472" s="1"/>
      <c r="D472" s="1"/>
      <c r="E472" s="1"/>
      <c r="F472" s="1"/>
      <c r="J472" s="1"/>
      <c r="K472" s="1"/>
    </row>
    <row r="473" ht="15.75" customHeight="1">
      <c r="C473" s="1"/>
      <c r="D473" s="1"/>
      <c r="E473" s="1"/>
      <c r="F473" s="1"/>
      <c r="J473" s="1"/>
      <c r="K473" s="1"/>
    </row>
    <row r="474" ht="15.75" customHeight="1">
      <c r="C474" s="1"/>
      <c r="D474" s="1"/>
      <c r="E474" s="1"/>
      <c r="F474" s="1"/>
      <c r="J474" s="1"/>
      <c r="K474" s="1"/>
    </row>
    <row r="475" ht="15.75" customHeight="1">
      <c r="C475" s="1"/>
      <c r="D475" s="1"/>
      <c r="E475" s="1"/>
      <c r="F475" s="1"/>
      <c r="J475" s="1"/>
      <c r="K475" s="1"/>
    </row>
    <row r="476" ht="15.75" customHeight="1">
      <c r="C476" s="1"/>
      <c r="D476" s="1"/>
      <c r="E476" s="1"/>
      <c r="F476" s="1"/>
      <c r="J476" s="1"/>
      <c r="K476" s="1"/>
    </row>
    <row r="477" ht="15.75" customHeight="1">
      <c r="C477" s="1"/>
      <c r="D477" s="1"/>
      <c r="E477" s="1"/>
      <c r="F477" s="1"/>
      <c r="J477" s="1"/>
      <c r="K477" s="1"/>
    </row>
    <row r="478" ht="15.75" customHeight="1">
      <c r="C478" s="1"/>
      <c r="D478" s="1"/>
      <c r="E478" s="1"/>
      <c r="F478" s="1"/>
      <c r="J478" s="1"/>
      <c r="K478" s="1"/>
    </row>
    <row r="479" ht="15.75" customHeight="1">
      <c r="C479" s="1"/>
      <c r="D479" s="1"/>
      <c r="E479" s="1"/>
      <c r="F479" s="1"/>
      <c r="J479" s="1"/>
      <c r="K479" s="1"/>
    </row>
    <row r="480" ht="15.75" customHeight="1">
      <c r="C480" s="1"/>
      <c r="D480" s="1"/>
      <c r="E480" s="1"/>
      <c r="F480" s="1"/>
      <c r="J480" s="1"/>
      <c r="K480" s="1"/>
    </row>
    <row r="481" ht="15.75" customHeight="1">
      <c r="C481" s="1"/>
      <c r="D481" s="1"/>
      <c r="E481" s="1"/>
      <c r="F481" s="1"/>
      <c r="J481" s="1"/>
      <c r="K481" s="1"/>
    </row>
    <row r="482" ht="15.75" customHeight="1">
      <c r="C482" s="1"/>
      <c r="D482" s="1"/>
      <c r="E482" s="1"/>
      <c r="F482" s="1"/>
      <c r="J482" s="1"/>
      <c r="K482" s="1"/>
    </row>
    <row r="483" ht="15.75" customHeight="1">
      <c r="C483" s="1"/>
      <c r="D483" s="1"/>
      <c r="E483" s="1"/>
      <c r="F483" s="1"/>
      <c r="J483" s="1"/>
      <c r="K483" s="1"/>
    </row>
    <row r="484" ht="15.75" customHeight="1">
      <c r="C484" s="1"/>
      <c r="D484" s="1"/>
      <c r="E484" s="1"/>
      <c r="F484" s="1"/>
      <c r="J484" s="1"/>
      <c r="K484" s="1"/>
    </row>
    <row r="485" ht="15.75" customHeight="1">
      <c r="C485" s="1"/>
      <c r="D485" s="1"/>
      <c r="E485" s="1"/>
      <c r="F485" s="1"/>
      <c r="J485" s="1"/>
      <c r="K485" s="1"/>
    </row>
    <row r="486" ht="15.75" customHeight="1">
      <c r="C486" s="1"/>
      <c r="D486" s="1"/>
      <c r="E486" s="1"/>
      <c r="F486" s="1"/>
      <c r="J486" s="1"/>
      <c r="K486" s="1"/>
    </row>
    <row r="487" ht="15.75" customHeight="1">
      <c r="C487" s="1"/>
      <c r="D487" s="1"/>
      <c r="E487" s="1"/>
      <c r="F487" s="1"/>
      <c r="J487" s="1"/>
      <c r="K487" s="1"/>
    </row>
    <row r="488" ht="15.75" customHeight="1">
      <c r="C488" s="1"/>
      <c r="D488" s="1"/>
      <c r="E488" s="1"/>
      <c r="F488" s="1"/>
      <c r="J488" s="1"/>
      <c r="K488" s="1"/>
    </row>
    <row r="489" ht="15.75" customHeight="1">
      <c r="C489" s="1"/>
      <c r="D489" s="1"/>
      <c r="E489" s="1"/>
      <c r="F489" s="1"/>
      <c r="J489" s="1"/>
      <c r="K489" s="1"/>
    </row>
    <row r="490" ht="15.75" customHeight="1">
      <c r="C490" s="1"/>
      <c r="D490" s="1"/>
      <c r="E490" s="1"/>
      <c r="F490" s="1"/>
      <c r="J490" s="1"/>
      <c r="K490" s="1"/>
    </row>
    <row r="491" ht="15.75" customHeight="1">
      <c r="C491" s="1"/>
      <c r="D491" s="1"/>
      <c r="E491" s="1"/>
      <c r="F491" s="1"/>
      <c r="J491" s="1"/>
      <c r="K491" s="1"/>
    </row>
    <row r="492" ht="15.75" customHeight="1">
      <c r="C492" s="1"/>
      <c r="D492" s="1"/>
      <c r="E492" s="1"/>
      <c r="F492" s="1"/>
      <c r="J492" s="1"/>
      <c r="K492" s="1"/>
    </row>
    <row r="493" ht="15.75" customHeight="1">
      <c r="C493" s="1"/>
      <c r="D493" s="1"/>
      <c r="E493" s="1"/>
      <c r="F493" s="1"/>
      <c r="J493" s="1"/>
      <c r="K493" s="1"/>
    </row>
    <row r="494" ht="15.75" customHeight="1">
      <c r="C494" s="1"/>
      <c r="D494" s="1"/>
      <c r="E494" s="1"/>
      <c r="F494" s="1"/>
      <c r="J494" s="1"/>
      <c r="K494" s="1"/>
    </row>
    <row r="495" ht="15.75" customHeight="1">
      <c r="C495" s="1"/>
      <c r="D495" s="1"/>
      <c r="E495" s="1"/>
      <c r="F495" s="1"/>
      <c r="J495" s="1"/>
      <c r="K495" s="1"/>
    </row>
    <row r="496" ht="15.75" customHeight="1">
      <c r="C496" s="1"/>
      <c r="D496" s="1"/>
      <c r="E496" s="1"/>
      <c r="F496" s="1"/>
      <c r="J496" s="1"/>
      <c r="K496" s="1"/>
    </row>
    <row r="497" ht="15.75" customHeight="1">
      <c r="C497" s="1"/>
      <c r="D497" s="1"/>
      <c r="E497" s="1"/>
      <c r="F497" s="1"/>
      <c r="J497" s="1"/>
      <c r="K497" s="1"/>
    </row>
    <row r="498" ht="15.75" customHeight="1">
      <c r="C498" s="1"/>
      <c r="D498" s="1"/>
      <c r="E498" s="1"/>
      <c r="F498" s="1"/>
      <c r="J498" s="1"/>
      <c r="K498" s="1"/>
    </row>
    <row r="499" ht="15.75" customHeight="1">
      <c r="C499" s="1"/>
      <c r="D499" s="1"/>
      <c r="E499" s="1"/>
      <c r="F499" s="1"/>
      <c r="J499" s="1"/>
      <c r="K499" s="1"/>
    </row>
    <row r="500" ht="15.75" customHeight="1">
      <c r="C500" s="1"/>
      <c r="D500" s="1"/>
      <c r="E500" s="1"/>
      <c r="F500" s="1"/>
      <c r="J500" s="1"/>
      <c r="K500" s="1"/>
    </row>
    <row r="501" ht="15.75" customHeight="1"/>
    <row r="502" ht="15.0" customHeight="1">
      <c r="A502" s="85" t="s">
        <v>177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502:M502"/>
  </mergeCells>
  <conditionalFormatting sqref="A4:M500">
    <cfRule type="expression" dxfId="0" priority="1">
      <formula>$K4="Nouveau lead"</formula>
    </cfRule>
  </conditionalFormatting>
  <conditionalFormatting sqref="A4:M500">
    <cfRule type="expression" dxfId="1" priority="2">
      <formula>$K4="Appel 1 effectué"</formula>
    </cfRule>
  </conditionalFormatting>
  <conditionalFormatting sqref="A4:M500">
    <cfRule type="expression" dxfId="2" priority="3">
      <formula>$K4="En attente VIN/Photo"</formula>
    </cfRule>
  </conditionalFormatting>
  <conditionalFormatting sqref="A4:M500">
    <cfRule type="expression" dxfId="3" priority="4">
      <formula>$K4="Vérification"</formula>
    </cfRule>
  </conditionalFormatting>
  <conditionalFormatting sqref="A4:M500">
    <cfRule type="expression" dxfId="4" priority="5">
      <formula>$K4="Appel 2 effectué"</formula>
    </cfRule>
  </conditionalFormatting>
  <conditionalFormatting sqref="A4:M500">
    <cfRule type="expression" dxfId="5" priority="6">
      <formula>$K4="RDV confirmé"</formula>
    </cfRule>
  </conditionalFormatting>
  <conditionalFormatting sqref="A4:M500">
    <cfRule type="expression" dxfId="6" priority="7">
      <formula>$K4="RDV honoré"</formula>
    </cfRule>
  </conditionalFormatting>
  <conditionalFormatting sqref="A4:M500">
    <cfRule type="expression" dxfId="7" priority="8">
      <formula>$K4="Non faisable"</formula>
    </cfRule>
  </conditionalFormatting>
  <conditionalFormatting sqref="A4:M500">
    <cfRule type="expression" dxfId="8" priority="9">
      <formula>$K4="Annulé"</formula>
    </cfRule>
  </conditionalFormatting>
  <dataValidations>
    <dataValidation type="list" allowBlank="1" showInputMessage="1" showErrorMessage="1" prompt="Valeur invalide - Choisissez dans la liste." sqref="C4:C500">
      <formula1>'_Listes'!$C$2:$C$8</formula1>
    </dataValidation>
    <dataValidation type="list" allowBlank="1" showInputMessage="1" showErrorMessage="1" prompt="Valeur invalide - Choisissez dans la liste." sqref="K4:K500">
      <formula1>'_Listes'!$A$2:$A$10</formula1>
    </dataValidation>
    <dataValidation type="list" allowBlank="1" showInputMessage="1" showErrorMessage="1" prompt="Valeur invalide - Choisissez dans la liste." sqref="F4:F500">
      <formula1>'_Listes'!$E$2:$E$15</formula1>
    </dataValidation>
    <dataValidation type="list" allowBlank="1" showInputMessage="1" showErrorMessage="1" prompt="Valeur invalide - Choisissez dans la liste." sqref="D4:D500">
      <formula1>'_Listes'!$B$2:$B$25</formula1>
    </dataValidation>
    <dataValidation type="date" operator="greaterThan" allowBlank="1" showInputMessage="1" showErrorMessage="1" prompt="Date invalide - Entrez une date valide (ex: 28/06/2025)." sqref="J4:J500">
      <formula1>DATE(2020,1,1)</formula1>
    </dataValidation>
    <dataValidation type="list" allowBlank="1" showInputMessage="1" showErrorMessage="1" prompt="Valeur invalide - Choisissez dans la liste." sqref="E4:E500">
      <formula1>'_Listes'!$D$2:$D$42</formula1>
    </dataValidation>
  </dataValidations>
  <printOptions/>
  <pageMargins bottom="1.0" footer="0.0" header="0.0" left="0.75" right="0.75" top="1.0"/>
  <pageSetup paperSize="9" orientation="portrait"/>
  <drawing r:id="rId1"/>
</worksheet>
</file>